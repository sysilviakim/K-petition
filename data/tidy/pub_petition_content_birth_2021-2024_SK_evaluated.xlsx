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owner\Documents\K-petition\data\tidy\"/>
    </mc:Choice>
  </mc:AlternateContent>
  <xr:revisionPtr revIDLastSave="0" documentId="13_ncr:1_{EF94C6F7-EEC0-4B66-B8A5-D7B6E0370B9D}" xr6:coauthVersionLast="47" xr6:coauthVersionMax="47" xr10:uidLastSave="{00000000-0000-0000-0000-000000000000}"/>
  <bookViews>
    <workbookView xWindow="-103" yWindow="-103" windowWidth="24892" windowHeight="14914" xr2:uid="{00000000-000D-0000-FFFF-FFFF00000000}"/>
  </bookViews>
  <sheets>
    <sheet name="pub_petition_content_birth_202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3" i="1" l="1"/>
  <c r="J139" i="1"/>
  <c r="H135" i="1"/>
  <c r="J14" i="1"/>
  <c r="J15" i="1"/>
  <c r="H30" i="1"/>
  <c r="J30" i="1"/>
  <c r="J47" i="1"/>
  <c r="H71" i="1"/>
  <c r="H100" i="1"/>
  <c r="J100" i="1"/>
  <c r="I104" i="1"/>
  <c r="J104" i="1"/>
  <c r="J135" i="1"/>
  <c r="J136" i="1"/>
  <c r="J163" i="1"/>
</calcChain>
</file>

<file path=xl/sharedStrings.xml><?xml version="1.0" encoding="utf-8"?>
<sst xmlns="http://schemas.openxmlformats.org/spreadsheetml/2006/main" count="2138" uniqueCount="968">
  <si>
    <t>title</t>
  </si>
  <si>
    <t>area</t>
  </si>
  <si>
    <t>attachment</t>
  </si>
  <si>
    <t>status</t>
  </si>
  <si>
    <t>date_petitioned</t>
  </si>
  <si>
    <t>date_answered</t>
  </si>
  <si>
    <t>branch</t>
  </si>
  <si>
    <t>현황 및 문제점</t>
  </si>
  <si>
    <t>개선방안</t>
  </si>
  <si>
    <t>기대효과</t>
  </si>
  <si>
    <t>검토내용</t>
  </si>
  <si>
    <t>date_scraped</t>
  </si>
  <si>
    <t>date_implemented</t>
  </si>
  <si>
    <t>실시 결과</t>
  </si>
  <si>
    <t>year</t>
  </si>
  <si>
    <t>2021년 출산지원 지원대상자 확대</t>
  </si>
  <si>
    <t>식품/보건/복지/가족</t>
  </si>
  <si>
    <t>NA</t>
  </si>
  <si>
    <t>답변완료</t>
  </si>
  <si>
    <t>보건복지부</t>
  </si>
  <si>
    <t>저는 두 아들의 아빠입니다. 1인 자영업자입니다.
2021년부터 출산을 하게 되면 200만원 일시금 으로 지원해준다고 합니다.
육아휴직 지원 확대가 꾸준하게 늘어날 전망이고 생후 12개월 되지 않은 자녀를 둔 부모가
함께 3개월 육아휴직을 쓸 경우 통상 100% 최대 월 300만원까지 지급이 된다고 합니다.
저는 직접 당사자여서 이 정책을 매우 찬성합니다.
다만 제 경우 2021년 1월 말 예정이었던 둘째 아이가 6주나 빠르게 태어났습니다.
조산아라 아직도 인큐베이터에서 치료를 받고 있습니다.
아이의 건강과 치료비도 걱정이고, 지원정책의 혜택도 받을수 없습니다.
그리고, 고용보험에 가입되었지만, 1인 자영업자라 육아휴직도 지원받지 못합니다.</t>
  </si>
  <si>
    <t>모든 아이들은 출생증명서가 있습니다.
출생증명서의 예정일을 기준으로 조산아 및 저체충 출산아기에 대해 예외대상 추가 및 소급적용을  바랍니다.
고용보험보험에 가입된 1인 자영업자도 육아휴직에 대한 지원을 바랍니다.</t>
  </si>
  <si>
    <t>국가가 아이 양육과 건강에 대한 부모들의 걱정을 덜어주는게 출산지원정책의 목적이라 생각합니다.
조산아 및 저체중 출산아 부모의 경제적 도움과 공동육아 활성화에 도움이 될것입니다. 
저희와 같은 정책지원의 사각지대가 발생하지 않았으면 좋겠습니다.</t>
  </si>
  <si>
    <t>1. 귀하께서 국민신문고를 통해 제안해주신 사항(신청번호 1AB-2101-0000158)에 대하여 회신드립니다. 
2. 귀하의 제안내용은 '아동 출생시 바우처 지급 관련 소급적용 및 육아휴직에 관한 사항'으로 이해되며, 우리부 소관인 아동출생시 바우처 지급 관련에 대하여 답변드립니다.
○ 정부는 '함께 일하고 함께 돌보는 사회 구축'을 위해 「제4차 저출산고령사회 기본계획」을 수립·발표하였으며, 향후 5년간 추진할 중장기 계획 중 하나로 아동 출생·육아에 따른 경제적 부담 경감을 위한 "아동 출생시 200만원 바우처 신설" 계획을 발표하였습니다.
○ 바우처 지급 사업의 신규 도입을 위해서는 대규모 예산 투입에 따른 지원정책의 타당성 및 효과성 등을 분석하고, 법적 근거 마련, 예산 편성, 바우처 운영을 위한 시스템 개발 등에 기간이 소요됨에 따라 '21년도 준비기간을 거쳐‘22년 출생아부터 지원할 계획임을 알려드리며, 앞으로 임신출산 관련 지원 정책을 확대해 나가도록 노력하겠습니다.
3. 답변드린 내용에 대해 궁금한 사항이 있으실 경우 보건복지 콜센터(국번없이 129) 및 출산정책과 장성우(044-202-3391, 아동출생시 바우처 지급)로 연락주시면 성실히 답변드리겠습니다. 감사합니다.</t>
  </si>
  <si>
    <t>저출산 대책 - 둘째 출산시 연금 지급</t>
  </si>
  <si>
    <t>◦ 현황
 - 저출산 문제 해결의 핵심은 다음의 세가지라고 생각함. 첫째는 결혼을 할 수 있는 환경을 만드는 것이고, 둘째는 아이를 낳아서 키울수 있는 환경을 만들어 주는 것이고, 셋째는 아이를 다 키우고 난 후 노후를 편안하게 살 수 있는 환경을 만들어 주는 것.
 - 이 세가지는 한 번에 그리고 하나의 정책으로 해결할 수는 없는 문제임
 - 본인은 위의 세가지 중에 세 번째 문제를  해결하는 것이 가장 중요하다고 생각함
 - 현재 결혼 부부는 대부분 단 한명의 아이만을 낳고 있는 실정인데, 그것은 결국 노후가 불안하기 때문임(집값문제와 둘째 사교육비로 저축하기 힘든 상황)
◦ 문제점
 - 현재 출산율은 1명이 되지 않는데 대부분이 정책이 둘째가 아닌 셋째에 맞추어져 있음
 - 또한 정책의 대부분이 0명을 낳으면 얼마를 주겠다는 식의 일회성에 그치고 있음</t>
  </si>
  <si>
    <t>◦ 아이를 둘 낳으면 노후에 월 100만원(남녀 개별 지급)의 연금을 지급 
 - 국가를 경영하는데 인구 유지가 정말 중요하다면, 정부는 아이를 둘 낳을 수 있는 환경을 만드는데 초점을 맞추어야 하고, 아이를 둘 낳은 사람(남녀)에게 확실한 보상을 해 주어야 함.  만약 확실한 노후를 보장해 준다면 합계 출산율은 올라갈 것이라고 생각함.</t>
  </si>
  <si>
    <t>◦ 중기적으로 합계 출산율 상승 기대</t>
  </si>
  <si>
    <t>1. 안녕하십니까? 국민연금 제도에 관심을 갖고 좋은 의견을 주셔서 진심으로 감사드리며, 귀하께서 제안하신 내용에 대해 답변드리겠습니다.
2. 귀하께서 제안해 주신 내용은 ‘출산율 제고를 위하여 둘째 자녀를 낳으면 노후에 월100만원의 연금을 지급하자’라는 취지로 이해됩니다.
3. 국민연금제도는 '국민의 노령, 장애 또는 사망에 대하여 연금급여를 실시함으로써 국민의 생활안정과 복지증진에 이바지하는 것’을 목적으로 하고 있으며, 급여의 수급요건 및 지급 등은 국민연금의 목적을 달성할 수 있도록 엄격하게 법률로 정하여 운영하고 있습니다.
4. 연금액 결정을 위한 개인의 기본연금액 산정은 국민연금법 제51조에 따라 가입기간별 소득대체율, 가입자 전체의 평균소득월액, 가입자 개인의 평균소득월액 및 납입기간 등을 고려하여 산정하므로, 자녀의 출산 수에 따라 연금액을 지급할 수 없음을 이해해 주시기 바랍니다.
5. 다만, 정부에서는 출산장려정책의 일환으로 2008년부터 이미‘출산에 따른 국민연금 가입기간 추가 산입(이하 출산크레딧)’제도를 도입하여 두 자녀 이상 가구에 대하여 노령연금 수급 시 가입기간을 늘려 수급액을 높여드리는 혜택을 제공하고 있습니다.
6. 국민연금법 제19조에 따른 출산크레딧 제도는 50개월 한도 내에서 둘째 자녀는 12개월, 셋째 자녀부터는 18개월의 가입기간을 추가로 인정해 보험료 납부 없이 연금 수급액을 높여주는 제도입니다.
7. 아울러, 저출산 현상이 심화된 최근 상황 등을 고려하여 첫째아부터 크레딧을 지급(지원기간 6개월)하도록 하는 개선안이 포함된 제4차 국민연금종합운영계획을 마련하여 국회 제출한 바 있으며, 향후 입법 절차를 거쳐 법률이 개정되는 경우 자녀 출산에 따른 가입기간의 증가로 연금액이 늘어날 수 있음을 말씀드립니다. 
8. 국민연금제도에 관심을 가져주셔서 다시 한번 감사드리며, 추가 문의사항은 국민연금공단 콜센터(국번없이 1355) 및 보건복지콜센터(129) 또는 보건복지부 연금급여팀(044-202-3637)으로 연락 주시면 성실히 답변드리겠습니다. 감사합니다.  끝.</t>
  </si>
  <si>
    <t>출산율을 높이고 일자리도 창출</t>
  </si>
  <si>
    <t>출산율 저하...더 말할 필요도 없지요
막대한 세금 쏟아붓고는 있는데. 출산 시, 현금 지급 등등...하지만 효용성은 의문입니다.
단순히 개별 얼마 지원하는 것이 해답이 아니라는 것이겠지요
일자리 부족...또한 마찬가지...제발...현금 지원 좀 하지마세요....묻지마 정책도 아니고....
제발 출산이든 일자리든 현금만 쏟아붓지 마세요...누가 그 돈으로 애를 낳고 싶겠습니까. 그 돈으로 혹해서 애를 낳아도 제대로 키울 수 있겠습니까? 일시적으로 혹해서 애를 낳아도 아동 학대, 방임으로 이어집니다....최근 싱글맘과 그 아이를 봐도. 육아가 문제이지 출산이 문제가 아니란겁니다.</t>
  </si>
  <si>
    <t>○ 출산 시, 5년간 전문 베이비시터 의무 파견
 - 아이를 낳지 못하는 것은 육아가 쉽지 않기 때문임
 - 조부모의 도움을 받아야만 맞벌이 가능, 하지만 이는 조부모의 또다른 문제 발생. 물론 도움을 받을 수 있으면 그나마 좋긴 할 것 같습니다. 
 - 조부모의 도움을 전혀 받지 못할 경우, 맞벌이 넘 힘들고 경단 가능성 높아지고 아이는 어린이집 등등 보육시설 의존도 높아지고 워킹맘의 죄책감도 같이 높아짐. 둘째는 점점 멀어집니다.
 - 만 2세까지는 풀타임으로 베이비시터 파견, 그 후에는 4시~8시까지 파견
  =&gt; 어린이집에 혼자 늦게까지 있는 건 엄마와 아이 모두 힘들어요. 선생님도 힘들고. 아이가 일찍 집에서 저녁 먹고 씻고만 있어도 워킹맘에게는 엄청난 부담 감소가 있습니다. 아이와 잠시 놀고 자기만 하면 되니까요
○ 출산 시, 5년간 전문 청소도우미 주 1회 파견
 - 육아할 때 누군가 청소만 해줘도 삶의 질이 달라집니다. 
 - 주 1회 전문 청소도우미 파견으로 출산맘의 우울증도 극복될 수 있습니다.
○ 만 3세 이상 주 1회 교사 파견 
 - 우리나라만큼 사교육이 잘 되어 있는 곳이 없습니다. 
 - 주 1회 사교육 업체와 연계하여 교사 파견하여 무료교육을 진행
 - 주말에 진행된다면 주말에 쉬는 엄마나 아빠에게 30분이라도 달콤한 휴식이 제공될 수 있습니다..
○ 전문 베이비시터 양성
 - 현재 진행되는 베이비시터들은 할머니들이 많습니다. 할머니들의 장점도 많습니다만....체력적으로 어려운 분들이 대부분입니다. 유아교육학과 등등 우리나라에 관련 전공자들은 많습니다. 그 전공자들을 대상으로 자격증(베이비시터 , 베이비케어 등등)을 만들든지 해서 하나의 완전한 일자리로 만드는 것이 필요할 것입니다. 
 - 젊은 사람들을 대상으로 완전한 일자리로 만들어야 할 것입니다. 물론 현재도 어린이집이나 유치원 등에서 발생하는 학대 문제들을 예방하기 위한 것이 필요하겠지요...정신과 상담을 통한 사전 거르는 작업이 필요할 듯합니다.
 - 뿐만 아니라 경단녀들을 대상으로 진행하여도 좋을 것 같습니다. 아이를 키워본 노하우를 무시할 수는 없을테니까요
※ 외벌이, 맞벌이 등등 기타 세부적인 내용들이 바뀌어야 하겠지만....아이를 키우다보니...조부모의 도움 없이 오롯이 부부 둘이서 맞벌이로 키우다보니 아쉬운 점...그리고 베이비시터를 쓰면서 좋았던 점들이 생각나서...제안합니다.
※ 실제 정책이 되려면 검토해야하는 것들이 더 많겟지만....일 좀 해주세요...페이퍼만 보지 말고...현금만 뿌리지 말고...세금 아까워요...
※ 아이를 키우려면 뿌리는 현금보다 공동육아가 필요합니다. 하지만 맞벌이를 하다보니 동네 네트워크 만들기도 어려워서 알아서 공동육아 네트워크 만들기도 어려워요....그깟 현금 좀 뿌린다고...빚을 탕감해준다고 애를 더 낳지 않는단 말입니다.
그리고 제발 부서 나눠서 니 일 내 일 하지 마세요...이거 하려면 꽤 많은 부서가 같이 해야하는데....이게 힘들어서 돈을 뿌리는게 아닐지....;;;</t>
  </si>
  <si>
    <t>○ 지금 현금 뿌리는 것보단 출산율 올라갈 겁니다. 육아에 대한 부담을 줄이는 거니까요
○ 계속해서 외치는 일자리도 당연히 늘어나겠지요...교사 파견하는 것도 새로운 교사를 양성하지 마시고...기존 업체들과 협업을 한다면 지금 뿌리는 돈으로 충분히 가능할 것이라 생각합니다. 
○ 베이비시터도 지금부터 양성하겠다 하지 마시고 수많은 베이비시터 업체들 있습니다. 그들과 협업을 해서 진행한다면 조금 더 빨리 그리고 지금 뿌리는 돈으로 충분히 시작할 수 있다고 생각합니다.
○ 출산과 일자리 모두 다 늘어날것입니다.</t>
  </si>
  <si>
    <t>1. 안녕하십니까? 국민신문고로 접수된 귀하의 제안(신청번호 : 1AB-2101-0003958)에 대해 다음과 같이 답변드립니다. 저출산 문제 해결을 위한 고민과 함께 정책적 제안을 해주신 것에 대해 감사의 말씀을 드립니다.
2. 우리나라의 저출산 현상은 청년 일자리 문제, 높은 주거비, 성장중심 주의로 인한 과도한 사회경쟁, 일 중심적인 사회분위기 및 국민 인식변화 등 사회·경제·구조적 요인과 가치관 변화에 따른 총체적 결과로 분석됩니다. 이를 위해서는 일 쏠림이 아닌 일과 삶의 균형을 회복하고, 과도한 경쟁이 아닌 포용과 연대의 문화를 확산하고 가정과 사회의 성 불평등을 해소하는 방향으로 우리 사회를 개선해 나갈 필요가 있다고 생각됩니다.
3. 정부는 보육·양육에 대한 사회적 책임을 강화하기 위해 만0세~5세 아동에 대한 어린이집 이용 서비스와 가정양육수당 지원, 국공립 어린이집 설치 확대 등 공공보육 강화, 만7세 아동에 대한 아동수당 지급, 초등돌봄 강화 등의 정책을 추진하였습니다. 또한, 작년말 수립한 제4차 저출산 고령사회 기본계획에서 육아휴직 사각지대 해소와 남성 육아휴직 확대를 위한 3+3 부모공동 육아휴직제 도입, 시간제보육 확대 및 아이돌봄서비스 강화 등 다양하고 유연한 돌봄서비스 확충 등의 정책들을 담았습니다.
4. 귀하께서 말씀해주신 출산 시 5년간 전문 베이비시터 의무 파견, 출산 시 5년간 전문 청소도우미 주 1회 파견, 만 3세 이상 주 1회 교사 파견 등의 내용은 사회적 공감대 형성 및 충분한 사회적 논의를 통해 접근할 필요가 있다고 판단되고, 향후 저출산 대응 정책과제 발굴 등에 있어서 참고할 수 있도록 노력하겠습니다.
5. 귀하의 가정에 평안과 행복이 깃드시길 바라며, 기타 문의사항이 있으신 경우 보건복지부 인구정책총괄과(044-202-3371) 또는 보건복지콜센터(국번없이 129)로 연락주시면 안내드리겠습니다. 감사합니다.</t>
  </si>
  <si>
    <t>출산정책 획기적 변경</t>
  </si>
  <si>
    <t>최근 결혼 적령기에 돌입한 자녀가  결혼이라는
것에  관심이 없다는 것에  현 지성인과 특히 정책
자들이 관심 보다 더욱 심혀를 기울려야 한다고
강력히 충고한다
이 문제를 담당하는 국무부서의 책임자는 책임을
통감하고 하루속히  츌산정책에  대책을 세워야 한다.
결혼에 대하여 부정적으로 관심이 없는  쪽이 
남성보다  여성이라는 것이다.
나도  4년 전만 해도 여성이 결혼에  관심들이 있어 큰아들은 결혼하여 2자녀를 두고 있는데
처남을 결혼 시키려 수소문 하지만 딸을 가진 부모는  결혼을 시키려 하는데  자녀(딸)는 결혼을
안한다고  한다.
이대로 가면  우리나라의  출산정책은  낙제점이
되고 크나큰 사회문제가 된다</t>
  </si>
  <si>
    <t>첫째:기혼자가  직장 취업시 가점을 주어  우선
채용한다.
둘째:결혼하면 축하금으로 전세금을 지급한다.
셋째:자녀수에 따라  양육비를  대폭 증액한다.
넷째:기혼자가  주거지 인근에서 근무토록 배치한다.
다섯째:어린이집을  사설을 확대하고   일과전 과 일과후 까지  보살펴 준다.
위와같이  획기적으로 하지 않으면  여성들이
결혼을 하지 않을것이다.
그리고 이문제를  추진하기에 앞서  우리 부모와
사회분위기가   함께 조성 되어야만 가능하다.</t>
  </si>
  <si>
    <t>-출산에 의한 국가정책의  기틀이 유지 보존한다.
.노령화  양극화에 기여한다.
.인간의 존엄성과 사회구성원에   일익을  준다.
.고용창출에 기여한다.
.제일 중요한것은 *국제사회를 주도할수있다*</t>
  </si>
  <si>
    <t>1. 안녕하십니까. 아동복지정책에 관심을 가지고 의견 주심에 감사드립니다.
2. 귀하께서 출산정책 관련하여 문의하신 사항 중 복지부와 관련된 사항에 다음과 같이 답변드립니다.
□ 아동수당(아동복지정책과)
 ○ 아동수당 확대에 대해서는 연령확대, 다자녀 지원 확대 등 다양한 의견이 있으나, 국가 및 지자체의 재정부담을 고려하여 사회적 합의를 통한 신중한 검토가 필요합니다. 귀하의 의견은 향후 정책 수립 시 적극 참고하도록 하겠습니다.
□ 어린이집 확대(보육정책과)
 ○ 우리 부에서는 부모 선호도가 높은 국공립어린이 설치를 지원하여 공공보육 인프라를 확충하고 양질의 보육서비스 기반 조성을 위해 노력하고 있습니다.
 ○ 이와 관련하여, 국공립어린이집 이용률 40% 달성을 국정과제로 정하고, 지자체가 신축, 기존 시설 리모델링 및 매입, 장기임차 등 다양한 방식으로 국공립어린이집을 설치할 수 있도록 제도개선 및 예산 등을 지원하고 있습니다.
  - 다만, 「영유아보육법」 제11조에 따라 국공립어린이집은 해당 지역의 관할 지자체장의 소관이며 자치단체 재정여건, 보육수요와 공급 및 향후 영유아수 추계 등을 검토하여 보육계획에 따라 설치해야 할 대상임을 양지해주시길 부탁드리겠습니다.
 ○ 어린이집의 공공성 향상을 위해 국공립어린이집 확충을 차질없이 추진할 계획이며, 귀하께서 제안하신 사항에 대해서는 향후 정책 수립 시 적극 참고하도록 하겠습니다.
□ 양육수당(보육사업기획과)
 ○ 양육수당 인상은 예산 확보 등 중장기적 검토가 필요한 사안으로 귀하의 소중한 의견을 즉시 반영해드리지 못한 점에 대하여 양해 부탁드리며, 향후 귀하의 의견은 제도개선 과정에서 참고하도록 하겠습니다.
3. 귀하의 관심과 제안에 다시 한번 감사드리며, 아동을 위한 소중한 의견으로 이해하고 향후 정책 추진 시 참고하도록 하겠습니다. 추가로 궁금하신 사항이 있으시면 보건복지부 보건복지상담센터(국번없이 129) 또는 아동수당은 아동복지정책과(044-202-3420), 어린이집 확대는 보육정책과(044-202-3546), 양육수당은 보육사업기획과(044-
202-3567)로 연락주시기 바랍니다. 감사합니다.  끝.</t>
  </si>
  <si>
    <t>저출산 정책 전면수정 및 단순화</t>
  </si>
  <si>
    <t>애를 출산하자마자 창 밖으로 던저 사망한 사고가 발생했습니다. 애를 출산한다는 건 그 만큼 경제적 부담이 크게 와닿는문제인데, 현재 지원하는 방식은 1회성 중구난방에 너무 많은 인력을 투입합니다.</t>
  </si>
  <si>
    <t>취학전에는 주민센타에서 확인하데 1인출산시 50만원씩 매달 20년간 지급하기입니다. 
다른데 입양을 보내거나 또는 자녀 사망시는 지원이 끝납니다. 아동학대시에고 지원은 끝납니다.
4인이상 출산시는 200만원씩 영구 연금지원입니다.</t>
  </si>
  <si>
    <t>출산에 대한 명백한 사회적 보상을 명확히 합니다.
애를 키우는데 대한 최소한 비용을 국가가 지불함으로 인구 증가를 유도하고,
현재방만한 조직을 대폭 축소 흡수해서 국가예산효율성을 올립니다.
현재 있는 조직만 쓰기때문에 별도 조직만드느냐 돈을 쓰지 않습니다.</t>
  </si>
  <si>
    <t>1. 안녕하십니까? 국민신문고로 접수된 귀하의 제안(1AB-2101-0006973)에 대해 다음과 같이 답변 드립니다. 귀하께서는 저출산 대책을 출산·육아기 가정에 대한 현금성 지원 위주의 정책으로 대폭 단순화하여 정책 효과성과 예산 효율성을 높이자는 의견을 주신 것으로 이해됩니다.
2. 우리나라의 저출산 현상은 청년 일자리 문제, 높은 주거비, 성장중심 주의로 인한 과도한 사회경쟁, 일 중심적인 사회분위기 및 국민 인식변화 등 사회·경제·구조적 요인과 가치관 변화에 따른 총체적 결과로 분석됩니다. 이를 위해서는 일 쏠림이 아닌 일과 삶의 균형을 회복하고, 과도한 경쟁이 아닌 포용과 연대의 문화를 확산하고 가정과 사회의 성 불평등을 해소하는 방향으로 우리 사회를 개선해 나갈 필요가 있다고 생각됩니다.
3. 정부는 올해말 수립한 '제4차 저출산 고령사회 기본계획'에서 부모의 영아기 아동을 돌볼 권리를 보장해주고,‘아이가 가족과 함께 하는 시간’을 보장할 수 있는 사회로 나아가기 위해, 육아휴직 사각지대 해소와 남성 육아휴직 확대를 위한 3+3 부모공동 육아휴직제, 영아수당 등 영아기 집중투자, 공보육 확대 등의 정책들을 마련하였습니다.
4. 아이를 낳아 기르는 것이 삶의 어려움이 되지 않고,‘함께 일하고, 함께 돌보는 사회’를 만들 수 있도록, 제4차 저출산 고령사회 기본계획을 충실하게 이행하고, 관계부처 등과 효과성 높은 정책마련을 위해 지속적으로 소통하고 협력할 수 있도록 노력하겠습니다.
5. 귀하께서 지원해 주신 1인 출산시 매월 50만원씩 지원 및 4인 이상 출산시 2백만원씩 영구 지원은 막대한 재정이 소요되는 사안으로, 정책 효과성에 대한 면밀한 검토와 사회적 합의, 근거법령 마련 등이 선행되어야 할 것으로 보입니다. 향후 저출산 정책을 수립하는 데 있어 귀하의 의견을 참고하도록 하겠습니다. 
6. 답변 내용에 대해 문의사항이 있으신 경우 보건복지부 인구정책총괄과(044-202-3367) 또는 보건복지콜센터(국번없이 129)로 연락주시면 안내드리겠습니다. 감사합니다.  끝.</t>
  </si>
  <si>
    <t>저출산고령화로인한일자리문제및도시소멸문제와부동산문제해결방안</t>
  </si>
  <si>
    <t>새 한컴오피스 한글 2014 문서.hwp</t>
  </si>
  <si>
    <t>선진국들의공통문제이다,선진국들이수십조의예산을퍼부우면서도해결하지못하고있다,그런데 우리나라가이를카피해서열심히적용하고있다,당연히문제해결은안되고있다.</t>
  </si>
  <si>
    <t>이제선진국따라하기는그만하자,특히실패한정책,우리가선진국중에선진국아닌가?이제우리나라가리딩하자
한달생활에필요한자금등선제적분석을통해고향에서지속가능한삶,고향을떠나지않고도삶을유지할수있다면누가고향을떠나겠는가
누가내고향이없어지는것을좋아하겠는가?고향을떠나지않게하면되는아주간단한문제다,
연어의생을생각해보자,젊어서돈벌러도시로나갔다가늙으면고향으로복귀,젊어서잠시고향을떠나있는삶의계속성이가능하다.</t>
  </si>
  <si>
    <t>1.개인삶에대한선택권보장
2.노인을위해세금을내야한다는세금에대한저항감소
3.내가성장하면서국가로부터받은도움을세금으로환원한다는세금에대한긍정적마인드
4.사회진출여성의육아에대한대한부담/위탁시설에대한불안감등해소
5.60세이상되면떨어지는자존감회복/내가국가인적자원을양성한다
6.애낳는것이효도다/애보기위해부모찾을수밖에없다
7.고아원등아이를사랑으로키우는가?확률적으로사회비용감소효과</t>
  </si>
  <si>
    <t>1. 안녕하십니까? 보건복지부 인구정책총괄과입니다. 귀하께서 국민신문고를 통해 신청하신 민원에 대한 검토 결과를 다음과 같이 알려드립니다.
2. 먼저 인구정책에 관심을 가지고 의견주심에 감사드립니다. 귀하께서는 개인의 삶에 대한 선택권을 보장하는 정부정책을 건의하는 의미에서 민원을 신청하신 것으로 이해됩니다. 
3. 그간 정부에서는 현 저출산 상황을 심각하게 받아들여 그간에는 ‘출산율 제고’라는 국가 관점의 목표 중심으로 출산장려 등을 추진하였으나,
 - 귀하의 의견과 같이 국민 개인의 선택을 존중하면서 결혼과 출산을 가로막는 사회구조 전반에 대한 근본적 개선이 필요하다는 점을 인지하고, 다소 시간이 걸리더라도 저출산 문제의 보다 근본적인 해결을 위해 우리 사회의 고비용 구조를 개선해 나가면서 '아이 키우기 좋은 환경'을 조성하는데 중점을 두고 정책방향을 전환하였습니다.
4. 이에 정부는 기존의 출산장려 위주의 정책에서 벗어나 모든 세대의 삶의 질 향상, 성평등 구현, 인구구조 변화에 대응하기 위한 사회 전체의 역량제고와 사회혁신을 위한 정책방향을 전환하여 제4차 저출산·고령사회 기본계획(2021-2025)을 발표하였습니다.
 - 다만, 저출산 현상은 사회경제적 요인뿐 아니라 인구학적, 국민 인식 변화 등 복합적·사회구조적 요인에 따라 나타난 결과적인 현상입니다. 이의 개선을 위해 전체적인 구조 변화가 수반되어야 하는 과제로서, 부모들이 경험하고 있는 양육부담 완화를 위한 정책 또한 필요하다는 점 이해해주시기 바랍니다. 
5. 앞으로 정부는 제4차 저출산·고령사회 기본계획의 차질없는 수행으로 모든 세대가 함께 행복한 지속가능 사회를 만들기 위해 노력하겠습니다. 이에 귀하의 제안은 기 시행중인 정부정책사항으로 불채택 처리함을 알려드립니다. 기타 문의사항이 있으신 경우 보건복지부 인구정책총괄과(044-202-3367) 또는 보건복지콜센터(국번없이 129)로 연락주시면 안내드리겠습니다. 감사합니다.</t>
  </si>
  <si>
    <t>전세계에서 가장 심각한  대한민국 저출산 문제 해결을 위한  새로운 수술법.</t>
  </si>
  <si>
    <t>현재 대한민국은 
과거부터 지금 까지 정부에서 여러 출산 지원책등을 내놓고 있지만 출산률은 지속적으로 떨어지고 있다.
그이유는 지금까지의 출산 지원책이 출산을 안하는 국민들의 심리를 제대로 움직이지 못하고 있기 때문이다.
출산을 안하는 큰 이유는 분명하다. 내가 나의 아이를 혹은 나의 가정을 안정적으로 운영할 자신이 없어서다.
또한 그 큰 이유에는 결국 하위 이유로 교육, 직업, 보금자리 등의 문제가 복잡하게 얽혀 있을 것이다.
하지만 결국 현재와 비숫한 방식의 어떤 정책으로도 출산 가능한 대상자들의 불안한 심리는 잡아주질 못할것이다.
  본인 또한 월 300 이상의 소득을 가지는 평법한 직장인 이지만  지금의 소득이 과연 얼마나 영속성을 가질것인가에 대한 막막한 불안함과
내가 내 아이의 교육을 끝까지 책임 질수도 없다는 불안한 마음을 지울수 없기에 선뜻 출산을 결심할수 없다.
  결국 정부가 출산가능한 국민들에게 아이를 또는 가정을 안정적으로 운영할수 있게끔 보장하는 울타리를 만들어 준다는 정책을 보여 준다면  충분히 출산에 대한 국민들의 불확실한 인식의 대 전환을 기대할수 있을 것이라고 생각된다.</t>
  </si>
  <si>
    <t>지금은 일단 어떻게 해서든지 출산에 대한  인식의 대전환을 이루어야 함이 중요하다. 
지금까지의 일시적인 지원금 정책이 아닌 
아이를 출산한 가정에 아이가 20살이 될때까지  안정된 소득을 보장해주자!
2018년 기준 대한민국의 직장인 평균소득은 월300 정도라고 한다.
가령 기준을 300만원이라 한다면, 기본적으로 아이를 키우는 가정의 소득이 월 300은 될수있게 보장해주자는 것이다.
소득이 100만원이면 정부가 200만원에 해당하는 금전 혜택을 보충해주는 것이다.
[물론 상세한 요건은 갖추도록 해야 한다. 일정 요건에 해당하는 일자리(하루 6시간 이상 근무 조건등..)를 유지하고 있게끔 조건을 걸고 예외조항 또한 걸어두어야 할것이다.]
200만원이면 100 만원. 물론 300만원이 넘는 가정은 지원을 안해주는것을 기본으로 한다.</t>
  </si>
  <si>
    <t>최소한 대한민국이란 나라는 아이가 20살 성인이 될때까지는 모든 가정이 최소한의 기본소득을 갖게 되는 나라가 되는 것이다.
  심리적으로 내가 아이를 언제든 낳아도 아이가 성인인 20살까지는 소득이 적어도 안정적으로  300만원을 유지할수 있게 되고 삶의 안정성을 기대할수있으니 출산에 대한 인식의 대전환이 이루어 질것이라고 판단된다.
또한 자동으로 소득 재 분배의 효과도 있다고 본다.
현재 소득이 높음에도 언제든지 이소득을 유지할수없을수도 있다는 생각에  출산을 포기하는 전문인력들도 심리적으로 안정감을 느껴 출산에대한 막연한 불안감이 해소 될것이다. 결국 기본적으로 혜택은 저소득층(300 기준이하의) 만 받지만  국민 전체가 심리적으로 안정감을 받을수 있는 정책이 되는 것이다. 내가 설사 고소득 직장을 잃고 중간에 저소득 자가 되어도 기본적으로 아이를 성인으로 키울떄까지는 기본소득을 보장받게 되니 출산에 대한 막연한 불안감이 해소 될수 있는것이다.  현재 우리나라 국민들의 소득이 많이 올랐으니 정책 자금도 크게 들지 않을것으로 기대된다. 보장소득의 기준을 얼마로 할것인지는 의견이 다를수있겠지만  어쨋든 최소한 국가가 아이가 성인이 될때까지 일정한 기준의 안정적인 울타리를 보장한다고 치면, 누가되든지  출산에 대한 인식을 불안하지 않게 볼것이다.</t>
  </si>
  <si>
    <t>1. 안녕하십니까? 국민신문고로 접수된 귀하의 제안(신청번호 : 1AB-2101-0013368)에 대해 다음과 같이 답변드립니다. 저출산 문제 해결을 위한 고민과 함께 정책적 제안을 해주신 것에 대해 깊은 감사의 말씀을 드립니다.
2. 귀하께서도 아시다시피, 우리나라의 저출산 현상은 청년 일자리 문제, 높은 주거비, 성장중심 주의로 인한 과도한 사회경쟁, 일 중심적인 사회분위기 및 국민 인식변화 등 사회·경제·구조적 요인과 가치관 변화에 따른 총체적 결과로 분석됩니다. 이를 위해서는 일 쏠림이 아닌 일과 삶의 균형을 회복하고, 과도한 경쟁이 아닌 포용과 연대의 문화를 확산하고 가정과 사회의 성 불평등을 해소하는 방향으로 우리 사회를 개선해 나갈 필요가 있다고 생각됩니다.
3. 귀하께서 제안해 주신 '아이가 20살이 될 때까지 아이를 키우는 가정의 소득이 월 300은 될수있게 보장'해주는 것은 삶의 안정성을 가져오는 정책적 효과가 있을것으로는 예상되나, 정부의 한정된 재정여건 등을 감안시 단기간에 추진하기란 현실적으로 어려운 측면이 있고 재정지출에 대한 사회적 합의가 선행될 필요가 있다고 판단됩니다. 그러나, 귀하께서 주신 소중한 제안에 대해서는 향후 저출산 대응 정책과제 발굴 등에 있어서 참고할 수 있도록 노력하겠습니다.
4.. 귀하의 가정에 평안과 행복이 깃드시길 바라며, 기타 문의사항이 있으신 경우 보건복지부 인구정책총괄과(044-202-3371) 또는 보건복지콜센터(국번없이 129)로 연락주시면 안내드리겠습니다. 감사합니다.</t>
  </si>
  <si>
    <t>기초생활수급자. 조건부 자활센터 근무자. 육아휴직 급여 차별 개선</t>
  </si>
  <si>
    <t>현재 인천에서 기초생활 수급자로 조건부 자활센터에서 일을하고 있습니다. 
임신.출산으로 육아휴직을 제출하고 3월부터 6개월간  휴직을 합니다. 
그런데 자활센터 근무자는 노동자가 아니라 육아 급여를  받을 수 없다고 합니다.
이것은 분명히 차별이라고 생각합니다.
임신할때부터 이러한 차별을 받는다면 안된다고 생각하니 사전에
아래와 같은 내용을 방송, 신문, 쇼셜미이어등 ... 언론을 통해 적극 홍보해 주십시오.
- 아래 홍보내용 -  
저소득층인 기초생활수급자는 임신할때부터 차별을 받습니다. 
그래도 임신하겠다면 어쩔수 없지만 태어나는 순간부터 불이익을 당합니다. 
정부는 저소득층이 임신할 경우 차별을 받는다는 정책을 적극 권장합니다.     
대한민국 보건복지부장관</t>
  </si>
  <si>
    <t>자활센터 근무자도 육아급여를 받을 수 있도록 해주십시오.</t>
  </si>
  <si>
    <t>정부의 저출산 문제를 해결하는데 도움을 준다.</t>
  </si>
  <si>
    <t>1. 안녕하십니까. 국민신문고를 통해 문의하신 내용에 대해 회신드리겠습니다. 
  귀하께서는 자활근로 참여자가 임신을 할 경우 육아급여를 받을 수 있도록 건의한것으로 사료됩니다. 
2. 기초생활보장수급자의 경우 별도로 임신 출산에 대해 급여를 지원하고 있으며, 유사중복 지원은 힘든점 양해부탁드립니다.  또한, 임신중이거나 분만후 6개월 미만의 참여자는 조건부과유예대상이 되는점 참고하여 주시기 바랍니다.  답변이 도움되셨기를 바라며, 더욱 궁금한 점이 있으시면 보건복지부 자립지원과 박채령주무관(044-202-3081)로 문의부탁드립니다. 감사합니다.</t>
  </si>
  <si>
    <t>한국의 교육 및 고령화 , 일자리, 출산률감소, 경제인구감소문제</t>
  </si>
  <si>
    <t>* 고령화대책을 정부는 노인인력을 활용하거나
  학교과정축소 및 어린나이부터 직업현장에 실근무를
  시키는 등 효율적인 변화와 대책을 놔두고 
  그저 구태의연하게 
  국민번식을 시키듯 출산장려와
  신혼부부지원등 세금퍼주기로 생색을 내며
  수십조를 쏟아붓고도 실패연속이며
* 더구나 출산장려 이전에
  애를 맏길 곳이 없다는 기본적인 문제외에도 
  시골에 살기 싫고
  수도권에 살고싶은데 집값 비싸고 혼잡하다는 문제
  유망하고 폼나고 좋은 일자리가 없고
  학벌사회, 인맥사회, 채용비리
  회사내 업무외 스트레스인 친목강요 장기자랑 체육대회등
  아무것도 해결 못 하고 있습니다.
* 가장 중요한게 일자리라는 것을 알면서도
  벌써 일자리 고민과 불안이 제가 고등학교 때부터
  지금까지 수십년간 변하질 않습니다.
  한국인의 대부분은
  젊을 때는 콜센터와 물류센터, 배달
  중장년되면 
  택배, 화물, 버스기사, 택시
  보험영업   아니면 80%가 망하는 자영업말고는 할게 없습니다.
  중장년 유망자격증은 늘 사회복지사, 주택관리사 이 두개 뿐입니다.</t>
  </si>
  <si>
    <t>* 부모자격제 시행
  전과, 학력, 경력, 재직, 소득, 신용, 건강, 출산, 혼인
  기록 교환 의무화 
* 노인들은 세금 퍼주고  번식시키듯 
  세금퍼줘서 출산장려, 신혼부부장려, 청년수당같은
  아마추어 아무나 시켜도 다 할 수 있는 퍼주기정책은
  제발 이제 그만  다 실패하고 천문한 적인 액수만 날림
  차라리 그 돈으로 각 구마다 삼성전자같은 대기업
  분점 하나씩 차려서 지역주민 적은 근무시간으로 최대한
  돌아가며 채용하고, 교육시키고
  사회생활 쌓게 해서 우수한 조직문화와 기술가르치고 
  자신감고취
  부담되면 5년정도만 보장해주고 그 후 경력쌓고 알아서 하게
  만들면 됨
*  초등학교에 1년 더 일찍 입학시키고
* 중학교때부터 20여개의 직업현장에서 근무시키고
* 가장 잘 맞는 직업 2개정도에 집중근무시켜서
   고등학교 졸업 후 이미 3~5년정도의 경력자를 만듬
* 이를 위해 사회에서 전혀 쓰지 않는 불필요한 교육과정
  불필요한 학원, 대학 다 없애고
* 정말 공부 잘 하고, 원하는 연구인력을 위한 대학이나 연구소만
  지원 - 학벌사회감소효과
* 자꾸 학교 학원 훈련원 대학 대학원 이런거 만들지말고
  일을 시키세요 일을..
  학교말고 회사를 차려서 근무시간적게 하고 교육시간 할애하고
  교육을 시키다보면 공부가 왜 필요한지 더 깨닫기때문에
  동기부여도 더 잘됩니다.
* IT강국답게 인터넷교육 적극 활용
  주요과목 최우수 교사들로 인터넷동영상교육권장 
  및 이미 만들어져있는 교육 중 우수교육 선정하여 활용
* 즉 교육혁신, 일자리혁신
  노인활용과  학생활용으로 경제인구를 재설정 및 활용할 
  생각을 해야하는데 
  인구밀도 높고 혼잡한 나라가 그저 출산장려나 하고있습니다.
  정치가들이 문과출신 문제해결능력없는
  인권 행정 법노예 운동권들이 장악해서 그렇습니다.
  그것도 별로 깨끗하지도 않고 돈벌 능력도 없는 사람들이요
  지금 한국의 종교는 완벽하지 않고 느려터진 법과 법노예들입니다.
* 문과 모두 없애고 문제해결에 실도움이 되는 이과만을 공부하고
  문과수업은 교양과목화하고 검색을 활용
* 고위 정치인을 뽑을 때 임용고시나 정치학 행정학 인권변호사
  이런 아무 쓸데없는 학력전공을 보지말고
  문제해결능력과 업적, 성과를 보고 선출
* 법의 노예인 판사권한 축소 및 판결신속화 및
  판결방식의 다양화추진과 동시에
  입법부지만 일을 안 하는
  시대에 뒤떨어진 국회의원제도 완전 폐지
  관련자와 전문가 및 해외사례 동원하여 인터넷 3회 재판등
  시대에 맞는 입법 및 판결요망
  조두순 출소나 
  황제노역같은 말도 안 되는 일이 가능한 것이
  현재 입법부와 사법부가 거들먹거리며 방치하는 현실입니다.
* 노인 용돈벌이 공공근로 제가 직접 안해봐서 잘 모르지만
  불필요한 일 만들어 시키며 세금퍼주지말고
  실제 노인들에게도 도움되고 사회에도 필요한 일 시켜주세요
  선거때 표얻으려고 세금퍼주기는 그만하시고
  문제를 해결해주세요</t>
  </si>
  <si>
    <t>문제의 개선 및 
근본적이고 지속적인 해결 
집안, 학벌,  인맥아닌 
문제해결능력이 있는 사람이
권한과 부와 명예를 가지는 시대로 변화</t>
  </si>
  <si>
    <t>1. 안녕하십니까. 국민신문고로 접수된 귀하의 제안에 대해 다음과 같이 답변 드립니다. 귀하께서는 우리사회의 출산율 감소, 고령화에 대한 다양한 개선방안을 제시해 주신것으로 이해됩니다.
2. 우리나라의 저출산 현상은 청년 일자리 문제, 높은 주거비, 성장중심 주의로 인한 과도한 사회경쟁, 일 중심적인 사회분위기 및 국민 인식변화 등 사회·경제·구조적 요인과 가치관 변화에 따른 총체적 결과로 분석됩니다. 이를 위해서는 일 쏠림이 아닌 일과 삶의 균형을 회복하고, 과도한 경쟁이 아닌 포용과 연대의 문화를 확산하고 가정과 사회의 성 불평등을 해소하는 방향으로 우리 사회를 개선해 나갈 필요가 있다고 생각됩니다.
3. 정부는 지난해말 수립한 제4차 저출산 고령사회 기본계획에서 부모의 영아기 아동을 돌볼 권리를 보장해주고,‘아이가 가족과 함께 하는 시간’을 보장할 수 있는 사회로 나아가기 위해, 육아휴직 사각지대 해소와 남성 육아휴직 확대를 위한 3+3 부모공동 육아휴직제, 영아수당 등 영아기 집중투자, 공보육 확대 등의 정책들을 마련하였습니다. 또한 건강하고 능동적인 고령사회 구축을 위해 노후준비 지원, 양질의 노인일자리 지속 확대, 건강관리 등 다양한 정책을 포함하였습니다.
4. 아이를 낳아 기르는 것이 삶의 어려움이 되지 않고,‘함께 일하고, 함께 돌보는 사회’를 만들 수 있도록, 제4차 저출산 고령사회 기본계획을 충실하게 이행하고, 관계부처 등과 효과성 높은 정책마련을 위해 지속적으로 소통하고 협력할 수 있도록 노력하겠습니다.
6. 귀하의 가정에 평안과 행복이 깃드시길 바라며, 기타 문의사항이 있으신 경우 보건복지부 인구정책총괄과(044-202-3367) 또는 보건복지콜센터(국번없이 129)로 연락주시면 안내드리겠습니다. 감사합니다.  끝.</t>
  </si>
  <si>
    <t>저출산문제의 해결방안 건의합니다.</t>
  </si>
  <si>
    <t>안녕하세요.
저출산 문제가 사실 미래의 큰 문제이며, 현재도 조금씩 그것을 심각함이 들어나고 있지요. 굳이 설명안해도 저보다 전문가 분들이실테니 더 잘아시리라 생각됩니다.
제 개인적인 의견이지만, 도움이 되기를 바라는 마음에 적어봅니다.
저는 저출산의 원인이 키우고 싶지 않기 때문이라고 생각합니다. 젊은 세대들이 계산적으로 생각했을 때, 아이를 키우는 것 보다는 서로의 삶에 투자(여행,여가 등)하기를 더 원하는 것 같습니다. 물론 다양한 원인이 있겠지만요.</t>
  </si>
  <si>
    <t>본론으로 넘어가 정부가 나설수 있는 방안에 대해 건의 드리고자 합니다.
윤리적이나, 인간애적인 측면에서 보았을 때 낙태는 살인이라고 생각합니다. 정부에서 낙태를 살인죄로 적용하고, 병원에서 낙태하는 것을 금하는 것입니다. 아기도 생명이며, 삶을 살지 말지를 선택할 권리가 있기 때문이죠. 만일 부모가 아기를 가지기를 원치 않은다면 아이를 정부에서 운영하는 혹은 위탁하는 기관에서 입양할수 있도록 하고, 부모에게는 입양 혜택과 포상금을 지급하는 것입니다.
고아원처럼 아기를 키우는 기관을 정부에서 운영하자는 것입니다.
출산률이 낮아짐에 따라 놀게되는 교직원들을 이용하고요.
부모들에게 적지 않은 혜택을 준다면 그들도 아이를 낳고 싶지 않겠습니까?
요약하면
1. 낙태 금지
2. 공공 고아원 운영
3. 입양시, 임신시 부모에게 주어지는 출산혜택</t>
  </si>
  <si>
    <t>낙태를 금지함과 입양혜택으로 인해 출산율 기여에 도움이 될것입니다.
공공기관에서 대규모 고아원을 운영한다면 취업율도 높일수 있을것입니다
아이를 제거 하기가 너무 쉽기 때문에 부모들 역시 순간의 오판단으로 생명을 해치고
자신의 삶에 올수 있었던 행복을 도려내는 것일지도 모릅니다.
사실 막상 아이를 낳고 나서 보면 키우고 싶어질지도 모르고요.
한 명 한 명의 인구가 늘어남에 따라 얻게 되는 이득이 이 방안을 채택해서 운영하는 비용보다 클 것이라고 생각됩니다.
이런 글을 읽어주시어 감사드리고, 더 건강한 국가가 되기를 바랍니다.</t>
  </si>
  <si>
    <t>1. 안녕하십니까? 귀하께서 국민신문고를 통해 제안하신 내용(신청번호 1AB-2103-0000007, 접수번호 2AB-2103-0002498)에 대한 검토 의견을 다음과 같이 알려드립니다.
2. 귀하의 제안 내용은 '부모가 양육을 거부한 아동을 보호하는 아동양육시설 설치'로 판단됩니다.
3. 아동복지법 제2조제2항에 따르면 아동은 완전하고 조화로운 인격 발달을 위하여 안정된 가정환경에서 행복하게 자라나야 한다고 규정하고 있고, 같은 법 제4조제3항에 따르면 국가와 지방자치단체는 아동이 태어난 가정에서 성장할 수 있도록 지원하고 아동이 태어난 가정에서 성장할 수 없을 때에는 가정과 유사한 환경에서 성장할 수 있도록 조치하며 아동을 가정에서 분리하여 보호할 경우에는 신속히 가정으로 복귀할 수 있도록 지원하여야 한다고 규정하고 있습니다.
4. 이는 아동이 가능한 한 부모가 누구인 지 알고 부모에 의해 양육 받아야 한다는 유엔아동권리협약 제7조에 근거한 것으로써, 우리 부는 아동 최선의 이익의 관점에서 되도록 원가정에서 아동이 보호될 수 있도록 여러 정책적 노력을 기울이고 있습니다.
5. 빈곤 및 양육의 어려움으로 아동을 원가정에서 보호하기 어려운 경우, 아동복지법 제15조제1항에 따라 대리양육을 원하는 연고자에 대하여 그 가정에서 아동을 보호·양육할 수 있도록 필요한 조치를 하거나 아동의 보호를 희망하는 사람에게 가정위탁을 수행토록 할 수 있고 가정보호가 어렵거나 적합하지 않은 경우에 아동양육시설 등에서 아동을 보호할 수 있음을 알려드립니다.
6. 검토 의견이 만족스럽지 못하더라도 현행 제도나 우리 부의 정책 방향을 고려할 때 부득이한 부분이 있는 점 널리 이해하여 주시기 바라며, 검토 내용에 대해 문의하실 사항이 있으신 경우 보건복지부 아동권리과(☏044-202-3437)로 연락 주시면 친절히 안내해 드리겠습니다.  끝.</t>
  </si>
  <si>
    <t>요즘 한국 출산율이 최저라고 하는데 .방도가 없다니? 무슨말일까요</t>
  </si>
  <si>
    <t>뉴스에서 한국의 출산율이 뚝 떨어졌다고 합니다 그것은 당연합니다 결혼을 늦게하고 여성들이 경제적능력을 확대 함으로서 굳이 남성에 의존하던 시대는 갔습니다. 당연히 평균나이 35세 결혼시대에 가임연령기간도 매우 짧아져 하나 아니면 둘을 낳거나 낳지 않은 가정도 있습니다. 
시대가 변해버린 와중에 정부는 출산율 제고를 위해 두명낳으면 5천 3명이면 1억을 준다고 떠듭니다 사실 이런정책은 일회성에 불과합니다. 근본적인 원인을 파악하지 못한채 정책 판단으로 이어지는 경우입니다</t>
  </si>
  <si>
    <t>애를 안날 사람들은 2명을 낳으라고 광고해도 안낳습니다 이게 현실이고 앞으로도 그럴겁니다 그것을 인정하지 않고 3명 낳아라 4명낳아라 하는 정부의 호소력은 없어보입니다. 근본적인 원인은 무엇이고 이걸 출산율로 돌리기위한 대책은 무엇인지 알아봅시다
첫번째 2째낳으면 5천줄게 제발 이런거 하지맙시다 차라리 결혼을 20대에 빨리하면 돈을 더 주는게 미래를위한 선택입니다 20대는 2명을 낳고도 30대에 늦둥이 한명을 더 낳을수 있습니다. 하지만 30대에 결혼한사람은 한명 2명이 고작이죠 
둘째 사유리사례를 보았듯이 경제적능력을 갖춘 골드미스혹은 미혼여성들은 결혼은 안하더라도 아이는 갖고 싶어하는 사람들이 많습니다 이것은 곧 출산율로 이어집니다 시대가 변한걸 대응못하고 뒷북치는 정부정책이 낳은 참사가 아닌가 싶습니다 정자은행을통한 임신이 불법인가 아닌가를 놓고 판단할 시기는 지난것같습니다
셋째 결혼은하기싫은데 남성과 동거를 하는사람들이 늘어납니다 비혼인 비혼모의 증가 역시 사회적인식변화를 이끌어 이들에게도 똑같은 주거혜택 신호부부와 같은 대우를 해주는게 우선적이라고 봅니다
넷째 늦은결혼은 곧 남자보다는 여자쪽에 부담이 매우 큽니다 어떤 연예인은 아이가 갖고싶을때 못가지면 어쩌나를 걱정한답니다 그것은 정부가 니즈를 파악못한 주요한사례이기도합니다 이들에게 난자를 채취하고 냉동하는 베용을 국가가 책임져야한다고 봅니다 
미래시대에는 아이가 엄마뱃속을 통해 태어나지 않을겁니다 인공수정을통해 아이는 소나 돼지 혹은 기계에서 만들어질것입니다 
생명공학의 발전이야말로 출산율을 제고하는 미래를 내다보는 현명한 눈이 되지 않을가 싶습니다</t>
  </si>
  <si>
    <t>출산율 대책이라고함은 무엇보다 사회현상을 파악하고 니즈를 파악하고 그에맞게 대책을 세우는게 현명하다고 생각합니다 나중에 2명낳으면 5억이라도 줄 태세라면 그것은이미 정책적방향을 잘못잡은 어리석은 정책입니다 시대에 맞지않은 정책의 악순환이 이어지지 않기를 기대해봅니다</t>
  </si>
  <si>
    <t>1. 안녕하십니까? 귀하께서 국민신문고를 통해 신청하신 제안에 대해 다음과 같이 답변드립니다. 
2. 귀하께서는 저출산문제를 해결하기 위한 방안에 대한 의견을 주신 것으로 이해됩니다. 
3. 저출산 문제는 사회적, 경제적, 문화적 요인 등 다양한 문제가 복합적으로 결합되어 나타나는 현상으로 보는 것이 타당하며, 정부는 지난해 말 이러한 문제를 해결하기 위해 제4차 저출산고령사회 기본계획을 수립하여 발표한 바 있습니다. 아이를 낳아 기르는 것이 삶의 어려움이 되지 않고,‘함께 일하고, 함께 돌보는 사회’를 만들 수 있도록, 제4차 저출산 고령사회 기본계획을 충실하게 이행하고 관계부처 등과 실효성 있는 정책마련을 위해 지속적으로 소통하고 협력할 수 있도록 노력하겠습니다. 
4. 아울러 귀하께서 제안해주신 비혼자의 난자 냉동비 지원 등을 포함한 보조생식술 공적 지원은 사회적 공감대 형성 및 논의상황을 고려하여 신중한 검토가 필요할 것으로 판단됩니다. 향후 저출산 정책을 수립하는 데 있어 귀하의 의견을 참고하도록 하겠습니다.
5. 기타 문의사항이 있으신 경우 보건복지콜센터(국번없이 129) 또는 보건복지부 출산정책과(허소연 주무관, ☏ 044-202-3396)로 문의하시면 친절히 안내하도록 하겠습니다. 감사합니다.</t>
  </si>
  <si>
    <t>출생률 상향을 위한 건의</t>
  </si>
  <si>
    <t>현재 임신중인 고위험군 산모로서, 직접 느꼈던 문제점에 대해서 건의 하고자 합니다.
- 대중교통 건의
- 고위험산모군 지원
- 분만방법 건강보험 지원
- 임신에 대한 교육</t>
  </si>
  <si>
    <t>■ 서울 지하철에서의 개선방안 건의
- 지하철 역사내 홍보 : 임산부뱃지와 동일한 이미지를 2번과 3번 승강장에 있는 광고판에 홍보 필요(임산부 뱃지를 착용하고 있는 사람은 임산부이고, 그들의 좌석이므로, 비워놓도록 해야한다는 내용으로 넣어주세요.)
- 임산부석에 있는 문구 수정 : '내일의 주인공을 맞이하는 핑그카펫' 보다 직관적인 문구 필요. 직접적으로 '임산부석'이라는 문구를 넣어주세요.
- 임산부석 바닥에 핑크 사각형 시트지 사이즈 변경 : 임산부석에 앉을 당시에는 핑크색 사각형 시트지가 보이지만, 이미 앉고나서는 고개를 숙이지 않는 이상 그 사각형이 너무 작아 보이지 않고, 따라서 본인이 임산부석에 앉아있음을 인식하지 못하게 됨. 사각형 길이를 길게 하여(시선에서 계속 보이도록 하여) 본인이 임산부석에 앉아있음을 계속 인식할 수 있도록 함.
- 임산부석 안내멘트 : 부산지하철처럼 임산부가 다가오면 임산부석 근처에서 안내 멘트가 나오도록 해주세요. (임산부석 금속기둥에 스피커 부착)
- 임산부 뱃지 방식 다양화 : 가방에 매다는 현재의 뱃지 방식은 지하철 내 사람이 많거나 가방쪽을 굳지 보지 않는 이상 알 수 없음. 핸드폰 그립톡이라든지 다른 방식의 뱃지 고안 필요. 
■ 버스에서의 개선방안 건의
- 버스를 탈때 카드 태그시 임산부 안내할 수 있도록 하여, 기사님들이 인지할 수 있도록 함. 
■ 조산, 고위험 산모를 위한 지원방안 건의
- 고위험 임신 질환으로 진단받고 입원 치료를 받은 임산부의 경우(조기자궁수축으로 입원을 할 시), 라보파(링거액)는 급여혜택을 받을 수 있으나 많은 부작용을 동반함(심장이 빨리 뜀/열감/폐에 물참 등). 하지만 부작용이 없는 트랙토실(링거액)은 비급여로 조금만 입원이 길어지면 몇천만원은 금방 발생하게 됨. 
나라에서 지원해주는 금액 500만원이 있으나, 기준중위소득 180% 이하 가구의 구성원에 한해 지원을 하고있어 모두가 혜택을 받을 수 있는 것은 아님. 
임신이 늦어지고 고령화 되면서 고위험산모가 많아지고 있는 실정이므로, 고위험산모를 위한 지원방안이 다각적으로 검토되어야 함. 임신을 하는 것 뿐 아니라 유지하도록 지원하는것이 출생률을 높이는 방법 중 하나라고 생각함.
■ 분만방식에 구분없는 지원
- 분만방식에는 자연분만과 제왕절개가 있고, 자연분만의 경우 건강보험의 혜택을 받을 수 있지만 제왕절개의 경우 혜택을 받을 수 없음. (내가 알고 있는한은 그러하지만 현재는 바뀌었을수도 있음, 혹시 여전히) 제왕절개는 혜택을 받을 수 없다면 임산부의 선택권을 박탈하는게 아닐까 생각하며, 분만방식에 구분이 없이 건강보험의 혜택을 받을 수 있어야 한다고 생각함.
■ 임신에 대한 교육
- 막상 임신을 하고나서 임신에 대한 교육이 참 많이 부족하다는 생각이 들었습니다. 현재 교육과정에서 임신이 되는 과정과 피임까지는 교육을 한다고 해도 임신이 제대로 되지 않는 자궁외 임신, 유산등에 대한 내용은 없으며, 임신을 하고나서 입덧과 통증, 몸의 변화, 임신으로 생길 수 있는 다양한 증상 들에 대해서도 교육이 많이 필요하다고 생각이 듭니다. 임신은 여자만 하는 것이 아니라 여자, 남자 모두가 관여하는 것이므로 모두가 알고 있어야 하며, 그로인해 서로를 이해할 수 있는 기회도 된다고 생각합니다.</t>
  </si>
  <si>
    <t>임산부 뱃지를 달고 있는 사람이 임산부 일것이라고 생각하지 않고 홍보용이라고 생각하는 사람들이 있다는 이야기에, 나라에서 대대적 홍보가 많이 부족하다는 생각이 들었습니다. 
또한 임신에 대해서, 임신을 하기 직전까지도, 임신이 어떤것인지에 대해 모르고 있다는 것을 자각하게 되었고, 교육이 제대로 되어 있지 않다는 것을 많이 느꼈습니다.
임신을 모르니 임신을 한 당사자(여자)만 맘카페등의 검색을 통해서 정보를 얻게되는 상황이 되고(때로는 부정확한 정보가 난무함), 알고 싶다는 의지가 없는 남자들은 아예 정보에 접근조차 할 수 없게 됩니다. 
기초부터 바꿔나가게 된다면 출생률은 지금보다는 오르지 않을까 기대해봅니다.</t>
  </si>
  <si>
    <t>1. 안녕하십니까? 귀하께서 국민신문고를 통해 신청하신 제안에 대한 검토 결과를 아래와 같이 안내드립니다.
2. 귀하의 제안내용은 '고위험 산모로서 느꼈던 문제점에 대한 건의'로 이해됩니다.
3. "대중교통 개선, 임신에 대한 교육"과 관련하여 다음과 같이 답변드립니다.
  ○ 보건복지부는 서울시 등 지자체와 협의,‘13년부터 기존 노약자석과 별도로 전국 지하철 내 임산부 배려석을 운영 중에 있으며 임산부 배려 엠블럼을 임산부에게 지급하여 이를 소지한 임산부가 임산부 배려석에 앉을 수 있도록 하고 있습니다.
  ○ 또한, 우리 부에서는 인식개선을 통해 임산부를 자발적으로 배려하고 우대하는 사회분위기 조성을 위하여 지하철 내 안내방송, 임산부 배려 캠페인 등 홍보를 지속적으로 실시하고 있습니다.
  ○ 아직은 임산부 배려에 대한 사회적 인식이 충분하지 않은 편이며, 임산부가 대중교통 이용 시 어려움이 많은 것으로 알고 있습니다. 향후 홍보 및 캠페인을 지속적으로 실시하여 임산부 배려를 위한 국민 인식이 개선될 수 있도록 노력해 나가겠습니다.
  ○ 다만, 귀하께서 언급하신 교통카드 태그시 임산부 알림음 도입은 재정당국과 협의를 통한 예산 확보 등이 필요하며, 일부 알림음으로 인한 민원 발생 가능성, 임산부임을 주변에 노출하거나 주목받는 것을 원치 않거나 불편해 하시는 분도 있는 등 다각적인 사항에 대한 신중한 검토가 필요한 사항으로 판단됩니다.
4. 다음으로, 고위험산모지원과 관련하여 다음과 같이 답변드립니다.
  ○ 우리 부에서는 기준 중위소득 180% 이하 가구의 구성원인 임산부로, 19대 고위험 임신질환으로 진단받고 입원치료를 받은 임산부에게 의료비(최대 1인당 300만원)를 지원해드리고 있습니다.
  ○ 한정된 정부예산 범위 내에서 제도 취지를 살리기 위하여 지원대상 선정 시 일정 수준의 소득기준 등을 설정하고 있음을 양해하여 주시기 바랍니다.
  ○ 다만, 귀하의 의견과 같이 더 많은 임산부분들이 혜택을 받으실 수 있도록 지원 방안을 다각적으로 검토할 필요가 있음에 공감하고 있으며, 향후 대상자 확대 등을 위한 방안을 마련하는 한편 충분한 예산이 확보될 수 있도록 지속적으로 노력하겠습니다.
5. 제왕절개 분만 지원방안에 대해 다음과 같이 답변드립니다  
  ○ 제왕절개 분만시 자연분만과 불가피하게 의료비 부담이 증가하는 측면이 있습니다.
  ○ 다만, 복지부에서는 제왕절개분만의 본인부담률을 기존 20%에서 5%로 인하하는 등 출산에 따른 의료비 부담경감을 위한 다양한 방안을 추진해왔습니다(‘16.7월 시행).
  ○ 건강보험은 국민들께서 내어주신 소중한 보험료라는 한정된 재원으로 모든질환, 모든 치료에 대해 전체 급여 적용해 드리지 못함을 양해해 주시기 바라며, 귀하의 건의 내용에 대하여 향후 국민부담 수준, 보험재정 여건 등을 고려하여 지속 검토하겠습니다.
6. 답변 내용에 대한 추가 설명이 필요한 경우 보건복지콜센터(국번없이 129) 또는 출산정책과(☎ 044-202-3396, 3394) 및 보험급여과(☎ 044-202-2736) 로 문의하시면 친절히 안내하도록 하겠습니다. 감사합니다.</t>
  </si>
  <si>
    <t>저출산 문제는 공직자부터 솔선수범하기</t>
  </si>
  <si>
    <t>공직자들이 말로만 저출산 문제가 심각하다고 떠들기만 함.</t>
  </si>
  <si>
    <t>저출산 문제는 공직자부터 솔선수범하도록 하고,
특히 사회지도층과 그 가족, 저출산 관계부서 직원이
우선 솔선수범하고 모든 공직자 가정으로 전파돼서,
전 국민으로 이어지는 것이 바람직함.</t>
  </si>
  <si>
    <t>1. 안녕하십니까? 국민신문고를 통해 접수된 제안(신청번호 : 1AB-2103-0016038)에 대해 다음과 같이 답변드립니다. 귀하께서는 저출산 문제를 해결하기 위해 공직사회부터 노력해야 한다는 의견을 주신 것으로 이해됩니다.
2. 우리나라의 저출산 현상은 청년 일자리 문제, 높은 주거비, 성장중심 주의로 인한 과도한 사회경쟁, 일 중심적인 사회분위기 및 국민 인식변화 등 사회·경제·구조적 요인과 가치관 변화에 따른 총체적 결과로 분석됩니다. 이를 위해서는 일 쏠림이 아닌 일과 삶의 균형을 회복하고, 과도한 경쟁이 아닌 포용과 연대의 문화를 확산하고 가정과 사회의 성 불평등을 해소하는 방향으로 우리 사회를 개선해 나갈 필요가 있다고 생각됩니다.
3. 정부는 지난해말 수립한 제4차 저출산 고령사회 기본계획에서 부모의 영아기 아동을 돌볼 권리를 보장해주고,‘아이가 가족과 함께 하는 시간’을 보장할 수 있는 사회로 나아가기 위해, 육아휴직 사각지대 해소와 남성 육아휴직 확대를 위한 3+3 부모공동 육아휴직제, 영아수당 등 영아기 집중투자, 공보육 확대 등의 정책들을 마련하였습니다.
4. 아이를 낳아 기르는 것이 삶의 어려움이 되지 않고, ‘함께 일하고, 함께 돌보는 사회’를 만들 수 있도록, 제4차 저출산 고령사회 기본계획을 충실하게 이행하고, 공직사회를 포함한 사회 각계의 참여와 실천을 유도해 나갈 수 있도록 노력하겠습니다.
4. 저출산 정책에 대해 관심을 갖고 의견을 주신 점 진심으로 감사드리며, 답변내용에 문의사항이 있으신 경우 보건복지부 인구정책총괄과(044-202-3367) 또는 보건복지콜센터(국번없이 129)로 연락주시면 친절히 알려드리겠습니다. 감사합니다.  끝.</t>
  </si>
  <si>
    <t>[행정앙전부-출산보육]장기체류 납세 외국인 자녀 보육지원금 지급</t>
  </si>
  <si>
    <t>-국내 장기체류 경제활동(납세) 외국인(전문직,취업자) 자녀 어린이집이나 유치원 등원 시 어려움 많음
 -어린이집이나 유치원 정보 부족으로 진학 관련 고민 상담 창구 필요
-매월 50-60만원 원비 부담으로 자가 보육 대부분임</t>
  </si>
  <si>
    <t>경제활동 외국인은 납세자로서 연간 세금 납부액에 따라 자녀 어린이집이나 유치원 지원금 형태로 보육지급
 현재 경기도 안산시. 부천시 등 몇 개 지자체 조례 개정으로 3세~5세 외국인 어린이 보육지원 시행중
이를 전국으로 확대를 위해 행정안전부 조례 개정 필요함</t>
  </si>
  <si>
    <t>1. 안녕하십니까? 보육정책에 관심을 가져 주셔서 감사드리며, 귀하께서 국민신문고를 통해 제안하신 사항(1AB-2103-0021280)에 대한 검토 결과를 안내드립니다. 
2. 귀하의 제안은 "외국인 아동 보육료 지원"에 관한 것으로 이해되며 다음과 같이 검토결과를 알려드립니다.
  ○ 보육료는 부모에게 이용권형태로 지원되는 부모보육료(바우처)와 어린이집으로 직접 지원되는 기관보육료로 구분하고 있습니다.
   - 부모보육료를 지원 받을 수 있는 자격을 가진 자는 대한민국 국적자로 외국인 영유아가 어린이집을 이용할 경우에는 부모보육료(바우처)가 지원되고 있지 않음
   - 다만, 어린이집에 직접 지원 되는 기관보육료(민간, 가정 어린이집 이용 시, 0~2세반)와 누리과정운영비(3~5세반)는 지원되고 있으며, '21년 기관보육료 및 누리과정 운영비 지원 단가에 해당하는 금액을 지원하고 있습니다.
  ○ 외국인 아동에 대한 부모보육료 지원은 추가적 재정이 소요되는 반큼 사회적 합의를 거쳐 결정 필요한 사항으로 신중한 검토 필요
3. 검토의견에 대한 문의 사항이 있으시면 보육사업기획과(044-202-3562, 이기욱 사무관)로 연락주시기 바랍니다. 감사합니다.</t>
  </si>
  <si>
    <t>출산자녀 미래비젼 센터</t>
  </si>
  <si>
    <t>◉ 정부기관의 저출산 지원정책이 단순한 일회성 자금지원 수준에 머물고 있습니다.
◉ 저출산 해소를 위해서는 근원적인 가족구성원 문제와 가정환경 요인의 해소가 필요하지만 미흡한 상황입니다.
◉ 출산 자녀에 대한 불투명한 미래비젼을 맞춤형으로 제공하는 제도적 장치 마련이 부족한 현실입니다.
◉ 저출산 문제의 해소를 위한 통합적이고 종합적인 정부 정책이 미흡한 실정입니다.</t>
  </si>
  <si>
    <t>◉ 출산자녀 미래비젼 센터란
제출산 문제의 해소정책을 위하여 출산자녀에 대한 정부 지원정책과 가정환경 문제를 포함 어려운 문제를 해소하기 위한 지원을 포함하여 돌봄정책 및 교육정책에 대한 통합적인 정보제공과 컨설팅을 통하여 출산자녀의 미래비젼에 안정적
환경을 조성하는 제도적 장치를 의미합니다.
◉ 가정환경적 요인 해소
맞벌이 부부 및 출산자녀 돌봄문제 등 근본적인 가족환경에 곤란함이 있을 경우
정부의 맞춤형 정책지원에 대한 지원과 조부모를 포함 국립 어린이집 등 제도적 장치를 마련하여 해소가 가능토록 환경을 조성함을 의미합니다.
◉ 돌봄정책 확대지원
출산자녀의 돌붐문제가 방생할 경우 정부의 제도적 지원장치를 포함 근본적인 해소방안으로 조부모를 
포함 친인적 돌봄이 가능한 대체인력이 있을 경우 가족돌봄수당 등 해소가능한 정책적 지원을 포함합니다.
◉ 교육정책
출산자녀의 중,장기적 교육정책에 안정적 기반을 조성하기 위하여 국립 및 인접지역 어린이집, 유치원 등 
공유정보를 활용하여 자녀교육에 어려움이 없도록 업무대행 및 등록 등 적극행정을 추진할수 있습니다.
◉ 초등학교이상 교육정책
초등하교 이상 고등학교까지의 교육정책에 대한 맞춤형 컨설팅을 통하여 가족구성원들이 자녀교육의 
미래비젼에 안정성과 사전준비가 가능토록 전문 컨설팅 역시 필수적입니다.
◉ 정부기관의 종합지원 정보제공
출산 자녀와 가족환경 및 돌봄문화, 교육정책 등 통합적이고 종합적인 정부기관 지원 시스템과 예기치 않은 
문제점의 맞춤형 정책제공을 통한 안정적 기반조성
◉ 대학 및 일자리 미젼정책
출산자녀의 사회적 경쟁력 확대를 위한 미래비젼 정책으로 지역기반 취약부문의 전공학과 추천과 
졸업후 사회적 일자리 창출 지원정책을 종합적으로 참여가 가능토록 미래비젼 정책 지원 역시 중요합니다.</t>
  </si>
  <si>
    <t>◉ 저출산 문제의 근본적인 해소를 위하여 맞춤형 미래비젼 센터 및 정책을 상설로 운영함으로서 
근본적 저출산 해소 정책의 확산
◉ 가정환경에 따른 돌봄문화와 교육정책 등 종합적인 출산자녕의 미래비젼 정책 정보제공 및 안정감 구축
◉ 출산자녀에 대한 정부 지원정책의 종합정보 제공과 가족환경에 맞춤형 정책지원 및 컨설팅 제공
◉ 출산자녀의 중,장기적인 미래 사회적 경쟁력을 확보할수 있는 시스템으로
안정적 정책의 실효성이 가능합니다.</t>
  </si>
  <si>
    <t>1. 안녕하십니까. 국민신문고로 접수된 귀하의 제안(신청번호: 1AB-2103-0019055)에 대해 다음과 같이 답변 드립니다.  귀하께서는 '출산자녀 미래비전센터'를 통해 저출산 문제 해소를 위해 통합적이고 종합적인 정부 정책을 마련해야 한다는 의견을 주신것으로 이해됩니다.
2. 우리나라의 저출산 현상은 청년 일자리 문제, 높은 주거비, 성장중심 주의로 인한 과도한 사회경쟁, 일 중심적인 사회분위기 및 국민 인식변화 등 사회·경제·구조적 요인과 가치관 변화에 따른 총체적 결과로 분석됩니다. 이를 위해서는 일 쏠림이 아닌 일과 삶의 균형을 회복하고, 과도한 경쟁이 아닌 포용과 연대의 문화를 확산하고 가정과 사회의 성 불평등을 해소하는 방향으로 우리 사회를 개선해 나갈 필요가 있다고 생각됩니다.
3. 정부는 '05년 저출산고령사회기본법을 제정하고 대통령 직속 '저출산고령사회위원회'를 설치하여 저출산 완화와 고령사회 대응을 적극 추진하고 있습니다. '05년부터 저출산고령사회 5개년 기본계획을 수립·추진해왔으며, 지난해말 수립한 제4차 저출산 고령사회 기본계획에서 부모의 영아기 아동을 돌볼 권리를 보장해주고,‘아이가 가족과 함께 하는 시간’을 보장할 수 있는 사회로 나아가기 위해, 육아휴직 사각지대 해소와 남성 육아휴직 확대를 위한 3+3 부모공동 육아휴직제, 영아수당 등 영아기 집중투자, 공보육 확대 등의 정책들을 마련하였습니다.
4. 아이를 낳아 기르는 것이 삶의 어려움이 되지 않고, ‘함께 일하고, 함께 돌보는 사회’를 만들 수 있도록, 제4차 저출산 고령사회 기본계획을 충실하게 이행하고, 관계부처 등과 효과성 높은 정책마련을 위해 지속적으로 소통하고 협력할 수 있도록 노력하겠습니다.
5. 저출산 정책에 대해 관심을 갖고 의견을 주신 점 진심으로 감사드리며, 답변내용에 문의사항이 있으신 경우 보건복지부 인구정책총괄과(044-202-3367) 또는 보건복지콜센터(국번없이 129)로 연락주시면 친절히 알려드리겠습니다. 감사합니다.  끝.</t>
  </si>
  <si>
    <t>대한민국 인구정책중 출생율 증가방안에 대한 내용을 제안합니다.</t>
  </si>
  <si>
    <t>1. 대한민국 2021년 현주소입니다.
 - 2020년 합계출생율은 0.84명으로 OECD 기준 꼴찌입니다.
 - 2021년 2월 출생아동은 30만명 이하로 역대 최저수준임을 관계자들은 모두 알고 있습니다.
 - 저출산 교령화 양대산맥 문제에 봉착해 있으면서 해결의 기미는 보이지 않습니다.
 - 대한민국 존립의 위기에 봉착하고 있음을 잊지 말아야 합니다.</t>
  </si>
  <si>
    <t>2. 출생율 증가 정책 개요입니다.
 - 제원은 복지예산중 일부를 지정하여 사용합니다.
 - 정책적용기간 최소 10년을 목표로 운영하며 이후 기간을 줄여갑니다. 
 - 정책 실행후 매 3년 단위로 정책 결과를 평가합니다.
 3. 정책반영 
 - 출생하는 출생 아동을 기준으로 양육권자에게 지원합니다.
 - 출생아동 당 월 100만 원을 가정에 지원합니다(연 1,200 만원)
   (소요예산은 연간 3조 6천 억원 소요됩니다. 100만원 * 출생아동 30 만명 추산)
 - 예산 수립이 가능하다면 월 200만 원으로 상향하여 지원합니다(연 2,400만원)
   수년간 직장생활 하지 않고도 어느정도 양육에 전념 해볼만 합니다. 
   (소요예산 : 7조 2천억원 소요/ 200만원 * 출생아동 30 만명추산)
4. 지원기간
 - 1차 목표 : 초등학교 졸업과 연계 15년간 지원(연 1,200 ~ 2,400만원 * 15년) 
                       아동 일인당 지원액 -  1억 8천만원에서 3억 6천만원 수준
 - 2차 고등학교 졸업과 연계 19년 지원(연 지원금액 동일)   
                       아동 일인당 지원액 - 2억 2천 8백만원에서 4억 5천 6백만원
 - 한부모 출생 아동도 동일하게 적용
 - 외국인 경우 다문화가족 동일하게 적용
 - 납세 충실한 외국인 경우 자녀의 어린이집, 유치원 이용시 보육료 지원을 내국인과 동일하게 지원(장기적으로 내국인화 유도)</t>
  </si>
  <si>
    <t>5. 기대효과
 - 과거와 다르게 아동 개인당 직접적인 지원효과 발생함으로 출생 장려의 기회가 됨.
 - 양육자가 나아진 경제사정의 틀에서 바람직한 육아 양육 기회 제공 가능
 - 안정적인 직업군(공무원 등)에서 다산의 효과도 기대할 수 있음.
 - 향후 2자녀에서 3자녀로 가족 구성인원이 증가할 것으로 예상되어 차후로는 현행 출생율 장려정책의 일환으로 적용하고 있는 제반 정책들을 중복하여 사용하지 않아도 됨으로 실질적인 예산은 줄어들 것으로 예상됨.</t>
  </si>
  <si>
    <t>1. 안녕하십니까? 국민신문고를 통해 접수된 국민제안(신청번호 :1AB-2104-0002731)에 대해 다음과 같이 답변드립니다. 귀하께서는 저출산 문제를 해결하기 위한 방안에 의견을 주신 것으로 이해됩니다.
2. 우리나라의 저출산 현상은 청년 일자리 문제, 높은 주거비, 성장중심 주의로 인한 과도한 사회경쟁, 일 중심적인 사회분위기 및 국민 인식변화 등 사회·경제·구조적 요인과 가치관 변화에 따른 총체적 결과로 분석됩니다. 이를 위해서는 일 쏠림이 아닌 일과 삶의 균형을 회복하고, 과도한 경쟁이 아닌 포용과 연대의 문화를 확산하고 가정과 사회의 성 불평등을 해소하는 방향으로 우리 사회를 개선해 나갈 필요가 있다고 생각됩니다.
3. 정부는 지난해말 수립한 제4차 저출산 고령사회 기본계획에서 부모의 영아기 아동을 돌볼 권리를 보장해주고,‘아이가 가족과 함께 하는 시간’을 보장할 수 있는 사회로 나아가기 위해, 육아휴직 사각지대 해소와 남성 육아휴직 확대를 위한 3+3 부모공동 육아휴직제, 영아수당 등 영아기 집중투자, 공보육 확대 등의 정책들을 마련하였습니다.
4. 아이를 낳아 기르는 것이 삶의 어려움이 되지 않고,‘함께 일하고, 함께 돌보는 사회’를 만들 수 있도록, 제4차 저출산 고령사회 기본계획을 충실하게 이행하고, 관계부처 등과 효과성 높은 정책마련을 위해 지속적으로 소통하고 협력할 수 있도록 노력하겠습니다.
5. 마지막으로 귀하께서 제안해주신 아동에 대한 현금지원과 관련해서는 막대한 재정이 소요되는 사안인 만큼, 폭 넓은 사회적 협의와 국회의 논의를 통한 법령 마련 등이 선행되어야할 사안이며, 정책의 효과성 및 부작용 등 관련된 연구와 면밀한 검토 등 역시 필요할 것으로 보입니다. 향후 저출산 정책을 수립하는 데 있어 귀하의 의견을 참고하도록 하겠습니다. 
6. 귀하의 가정에 평안과 행복이 깃드시길 바라며, 기타 문의사항이 있으신 경우 보건복지부 인구정책총괄과(044-202-3367) 또는 보건복지콜센터(국번없이 129)로 연락주시면 안내드리겠습니다. 감사합니다.  끝.</t>
  </si>
  <si>
    <t>제4차 저출산,고령사회기본계획(21~25) 적용대상</t>
  </si>
  <si>
    <t>요즘 저출산 시대입니다. 
이번에 2022년 부터 시행되는 영아수당 얘기를 듣고 화도나고 차별에 대한 자절감까지 옵니다
 올해2020년에 코로나라는 전세계적인 팬데믹 현상속에 아이를 가지고 출산을 하는 사람들의 고통을 
 생각해 보신 적 있으십니까 
2020년에 임신한 사람들은 행복한 태교는 커녕, 매일 매일 불안감과 싸워야 하는 상황입니다 
 임신했다고 해서 먹고 싶은거 먹으러 식당을 갈 수도 없고, 아파도 병원도 어디 함부로 다닐수도 없고, 
누구를 만날수도 없고, 임산부들끼리도 친해질수 있는 기회도 없습니다
 몸이 변화하는것 만으로 우울한데, 경력단절이 두렵고, 어딜가지 못하고 갇혀있다시피 혼자 집에 있는 시간을 보내면서 임신 우울증과 코로나 우울증도 같이 겪는 사람들도 수두룩 합니다.
산부인과에서도 조리원에서도 모든 임신, 출산 교육 프로그램은 다 없어지고 육아, 출산 교육조차 받을곳이 별로 없습니다
 초산모는 출산한 몸으로 아이를 혼자 어떻게 해야할지도 막막하고, 경산모들은 아이들을 다 케어하기 힘든데도 코로나 때문에 조리원을 가야할지 말아야 할지, 산후 도우미를 써야할지 말아야 할지, 
매일 마음 졸이며 머리를 싸매고 고민합니다
 정작 코로나로 인해 가장 힘든시기를 버틴 산모들은 21년 출생하는 자녀를 둔 산모들일 수있습니다.
코로나가 한창 유행하며 경제적 어려움이 다가온 그 시절을 없는 살림에 버텨오며 출산의 기쁨을 
맞이하거나 곧 맞으려 하는데.....
사실 아이를 낳아 기르기 힘든 젤 큰 이유는 경제적인 문제입니다
 말로만 출산을 장려하는 건지 재정상태가 좋지않다는 이유로 2022년부터 혜택을 준다는게 말이 됩니까
20~21년에는 그럼 재정 상태가 안좋으니 출산을 자제 해달라고 국가 정책을 펴던지요.... 
정책자체도 21~25로 표기 해놓고 20년 12월 15일 발표를 하고선 22년부터 적용한다는 건....
이건 대놓고 21년생과 22년 생을 차별하여 그에따른 박탈감까지 더해져 더더욱 힘듭니다
2022년에 태어난 아이들은 출산율에 기여를 하는거고 2021년에 출산율에 기여하지 않은 건가요?
1년사이에 너무 혜택의 편차가 너무 심하다고 생각하지 않으세요?
말이 1년이지 11월,12월 생들은 어떨까요.....?
재난지원금을 준다는건 그만큼 이 시기가 힘든거잖아요. 재난시기에 임신, 출산하는 사람들에게 재난 지원금을 
 주지는 못할 망정, 딱잘라 2021년 출생아이들이 혜택에서 배제된다는 건 아닌것 같습니다
 제발 2021년에 힘겹게 태어나는 아이들에게도, 그 부모들에게도 숨통 좀 튀어주세요
2021년 영아들에게도 같은 혜택을 주세요.
정책적인 차별 하지 말아주세요
 제발 이 힘든시기를 잘 넘어갈수있게 도와주세요
2021년 출산에 대해 다시 한번 정책을 고려해 주세요. 
제발 부탁드립니다.</t>
  </si>
  <si>
    <t>위 정책 대상자를 22년인 아닌 21년 출생자들도 혜택을 받을 수 있게 소급 적용 해 주시길 바랍니다.</t>
  </si>
  <si>
    <t>차별없이 국민에게 공평한 대한민국이라는 인식을 심어 주세요....
정말 힘든시기에 고생했다는 격려가 될 수 있게 도와주세요....</t>
  </si>
  <si>
    <t>1. 안녕하십니까? 국민신문고로 접수된 귀하의 국민제안(신청번호 : 1AB-2104-0012338)에 대해 다음과 같이 답변드립니다. 
2. 귀하께서는 이번 저출산고령사회 기본계획을 통해 새로 도입하려는 주요정책들이 2021년도가 아닌 2022년도부터 적용되는 점에 대해 민원 주신 것으로 이해됩니다.
3. 영아수당, 임신출산 진료비 지원 확대 및 출생축하 바우처 등 지난해 말 수립된 제4차 저출산고령사회 기본계획을 통해 신규 추진하려는 주요 정책의 시행을 위해서는 법적 근거 마련, 예산편성, 시스템 구축 등 준비가 필요합니다. 법적 근거 마련과 예산편성은 반드시 국회심의 절차를 거쳐 확정되는 등 준비과정과 절차 진행을 위해서는 상당한 시간이 소요됨에 따라 ’22년도 제도시행을 목표로 하고 있습니다.
4. 우리사회가 아이 낳고 키우기 좋은 환경으로 나아가고 있는 과정이라고 이해해 주시기 바라며, 관계부처, 지차제 등 관계기관과의 지속적인 업무협의를 통해 목표기한 내 제도가 차질없이 시행될 수 있도록 노력하겠습니다.
5. 귀하의 가정에 평안과 행복이 깃드시길 바라며, 기타 문의사항이 있으신 경우 보건복지부 인구정책총괄과(044-202-3367) 또는 보건복지콜센터(국번없이 129)로 연락주시면 안내드리겠습니다. 감사합니다.  끝.</t>
  </si>
  <si>
    <t>국가 출산 축하금 신설에 관한 건</t>
  </si>
  <si>
    <t>현재 우리나라는 적극적인 출산 장려 정책을 펼치면서 여러가지 출산에 관련된 복지 정책을 펼치고 있습니다. 대표적인 예로 출산에 관련된 의료지원 및 출산 후 지원금 명목으로 지원하고 있고, 출산후 자녀 양육에 필요한 지원도 늘려가고 있습니다. 그런데 정작 중요한 출산 축하금 혹은 출산 장려금은 국가에서 지급하지 않고 각 지자체에서만 지급하되, 지자체 별로도 별도의 정해진 기준 없이 경쟁하듯이 지급을 하고 있습니다. 하지만, 각 지역별로 그 격차가 너무 크고 또 그로 인해 차별을 느끼는가 하면, 이러저러한 이유로 법의 사각지대(전입 및 전출에 관련되어)가 있어서 아예 출산장려금(축하금)을 한푼도 받지 못하는 분들도 있는바, 적지 않은 문제점이 있어서 다음과 같이 제안하는 바입니다.</t>
  </si>
  <si>
    <t>현재 각 지자체 별로 지원하고 있는 출산 장려금을 통합하여 국가에서 지급하여 주는 방안으로 법을 개정하여, "국가 출산 축하금"을 신설하여 주시기 바랍니다. 그래서 전국민이 자녀를 출산할 경우, 출산 가정에 대하여 나라에서 차등없이 공평하게 축하금을 주는 것으로 개선하여 주시기 바랍니다. 예를 들어 첫째 자녀의 경우 100만원, 둘째 자녀의 경우 300만원, 셋째 자녀의 경우 500만원 등(예시임)으로 출산 축하금을 신설하여 나라에서 책임지고 지급하여 줌으로 말미암아, 자녀를 출산하고도 서로 다른 출산 장려금으로 인해 소외감을 갖거나, 혹은 법의 사각지대에 놓여 있어서 아무런 지원금도 받지 못하고 있는 억울한 사람들이 생기지 않도록 국가에서 적극적으로 검토해 주시기 바랍니다.</t>
  </si>
  <si>
    <t>첫째, 출산 장려 기대 효과 
  둘째, 출산으로 인한 축하금 차등으로 인한 불만 해소 효과, 
  셋째, 법의 사각지대에서 출산장려금을 받지 못하는 사람들을 구제하는 기대효과</t>
  </si>
  <si>
    <t>1. 귀하께서 제안해주신 사항(신청번호 1AB-2104-0011651)에 대하여 회신드립니다. 
2. 귀하의 제안내용은 '중앙정부 차원의 출산축하금 지급'으로 이해되며, 이에 대하여 답변드립니다.
○ 우선 출산장려 정책에 관심을 가지고 소중한 의견을 제안해 주셔서 감사드립니다. 
○ 지방자치단체의 출산지원금은 각 지자체에서 지역주민을 위해 시행하는 자체사업으로, 출산율 상승 뿐만 아니라 인구유입 유도 등의 목적으로 지자체별 지역 여건에 따라 자율적으로 추진 중입니다. 
○ 중앙 정부의 동일기준 출산지원금 지급에 대해서는 재원의 우선순위와 대규모 예산 투입에 따른 지원정책의 타당성 및 효과성 등을 종합적으로 고려하여 신중한 검토가 필요한 사항임을 알려드리며, 귀하께서 제안해주신 내용을 정책 수립시 참고하도록하겠습니다.
○ 아울러 정부는 '함께 일하고 함께 돌보는 사회 구축'을 위해 「제4차 저출산고령사회 기본계획」을 수립·발표하였으며, 향후 5년간 추진할 중장기 계획 중 하나로 아동 출생·육아에 따른 경제적 부담 경감을 위한 "영아수당 지급, 아동 출생시 200만원 바우처 신설" 계획을 발표하였고, 현재 다각도로 사업내용에 대해 검토하고 있다는 점을 말씀드립니다. 
3. 답변드린 내용에 대해 궁금한 사항이 있으실 경우 보건복지상담센터(국번없이 129) 및 출산정책과(장성우, 044-202-3392)로 연락주시면 답변드리겠습니다. 감사합니다.</t>
  </si>
  <si>
    <t>출산 관련 장면 포함하는 영화와 드라마에 제작비 지원으로 저출산 고령화 극복</t>
  </si>
  <si>
    <t>지금 대한민국의 저출산고령화 실태는 심각합니다. 합계출산율 1.0에도 못미쳐 이대로 가면 국민연금 수급, 생산인구 감소, 대학을 비롯한 교육기관의 감소, 지방 중소도시의 소멸 등 많은 문제를 야기하고 결국에는 국가의 경쟁력마저 심각하게 저하된다는 여러가지 보고가 있는것으로 압니다.
이에 대한 여러가지 정부와 민간의 노력이 있었지만 뚜렷한 실효는 거두지 못하고 있는 실정입니다.</t>
  </si>
  <si>
    <t>출산 관련 장면이 있는 영화, 드라마등의 제작에 대해 정부가 제작비를 지원한다거나, 촬영장소를 제공하는등의 다양한 지원책을 마련하는 것을 제안합니다.
이런 차원의 지원책 내지 모티브는 이미 시행중인 CINE-F영화 표시같은것이 있습니다. 이것은 양성평등을 위해 여성이 주인공이거나, 제작을 하거나, 감독을 한 영화에 등급을 매겨 시청자들이 참고할 수  있게 하는 것으로 여성의 권리를 신장시키고 양성평등에 대한 국민들의 인식을 제고하기 위한 시책으로 알고 있습니다.
이와 같이 출산 및 결혼, 육아 관련 장면이 있고 이를  긍정적으로 묘사하는 영화와 드라마에 등급을 매겨 관계 당국에서 그 영화, 드라마 제작에 다양한 지원을 하는 것입니다.
1. 예컨대 영화 '건축학 개론'을 이런 기준으로 보겠습니다.
  주인공 승민과 서연은 헤어지고 승민이 다른 여자와 결혼해서(실제 결혼 장면은 없음) 비행기를 타고 해외 유학을 같이 떠나는 장면으로 
영화가   끝을 맺습니다. 그런데 여기에 승민의 결혼식 장면이 들어가거나, 아이를 낳아 행복하게 사는 장면을 추가할 경우 정부가 여러가지
  지원책을 주는겁니다. 예컨대  영화 요금의 10%를 저출산 고령화 대책 기금에서 지원하여 다른 영화보다 10% 싸게 관람할 수 있게
 하거나, 제작비의 일부를 지원한다거나, 상영관에 세제혜택을 준다거나 하는 거지요.
2. 또한 출산, 결혼, 육아 관련 내용이 있고 이를 긍정적으로 묘사하는 드라마나 영화, 가요 등의 작가, 작사가에게 정부의 저출산/고령화 대책
기금의 지원을 해주는 겁니다.
3. 그리고 주인공이 다자녀를 출산하거나, 지방으로 이전하여 사는 장면을 긍정적으로 묘사할 경우 더 많은 혜택과 지원을 해 주는 겁니다.</t>
  </si>
  <si>
    <t>이러한 영화나 드라마를 통한 결혼, 출산, 육아에 대한 긍정적인 묘사는 큰 효과가 있을 거라고 봅니다.
특히 젊은층에게는 많은 인식개선의 효과가 있을겁니다.
당장 1-2년 내에 최소한 0.1명 이상의 출산율 증가가 예상됩니다.
모쪼록 저의 제안을 정부에서 진지하게 받아들이시어 정책에 반영하여 대한민국이 건강한 젊은이들이 건강한 아이들을 많이 나아 
기르고 건강한 행복을 많이 누리는 건강한 나라가 되기를 간절히 빌며 제안의 글을 마칩니다. 감사합니다.</t>
  </si>
  <si>
    <t>1. 안녕하십니까? 국민신문고로 접수된 귀하의 제안(접수번호: 1AB-2104-0011305)에 대해 다음과 같이 답변 드립니다. 귀하께서는 출산율 제고를 위해 결혼, 출산, 육아 관련 장면이나 긍정적 내용을 포함하는 방송프로그램, 영화 등에 대해 다양한 혜택과 지원을 하자는 내용의 제안을 해 주신 것으로 이해됩니다.
2. 정부는 출산, 양육에 대한 인식 변화와 가족 친화적인 사회분위기 조성을 위해 저출산·고령사회 관련 국민인식개선 홍보사업을 추진하고 있습니다. 올해는 "함께 일하고 함께 돌보는 사회"를 핵심 메시지로, 방송 프로그램 제작 협찬 및 광고 송출, 온/오프라인 홍보채널 운영, 대국민 캠페인 등을 통해 제4차 저출산고령사회기본계획 주요 정책을 알리고, 저출산 현상에 대한 관심과 출산,육아에 대한 긍정적 인식을 확산해나갈 계획입니다.
3. '제4차 저출산 고령사회 기본계획'을 충실하게 이행하고, 사회 전체가 함께 힘을 모아 노력한다면 저출산 문제를 극복할 수 있을 것이라 기대하며, 관계부처 등과 효과성 높은 정책마련을 위해 지속적으로 소통하고 협력할 수 있도록 노력하겠습니다. 
4. 저출산 정책에 대한 관심과 의견에 감사드리며, 답변내용에 문의사항이 있으신 경우 보건복지부 인구정책총괄과(044-202-3367) 또는 보건복지콜센터(국번없이 129)로 연락주시면 친절히 알려드리겠습니다. 감사합니다.  끝.</t>
  </si>
  <si>
    <t>출산혜택을 21년생까지 확대해주세요</t>
  </si>
  <si>
    <t>22년부터 출산혜택이 많아졌다고 알고있습니다. 임신바우처40만원 증가와 (기존60만원,22년100만원) 출산축하금 200만원 0~1세 영아수당30만원까지 해서 (2년간 총 720만원) 약 천만원 가까이 혜택이 차이가 납니다.
그런데 정부정책발표를 보면 21~25년 저출산을 줄이기위한 정책의 일환으로 출산혜택을 22년부터 늘린거라고 하는데요, 그럼 21년생은 저 정책에 포함되지 않는다는게 말이 안됩니다.
특히 21년생은 22년에 만1세로 영아의 기준에 속합니다. 그런데도 21년생은 혜택이 없다니 기준이 불공평하다 생각합니다.</t>
  </si>
  <si>
    <t>20년에 발표하고 22년부터 시행한다는것은  예산확보를 위해 1년의 유예기간을 가질수있다고 봅니다. 하지만 작년 코로나로 인해 온국민에게 준 지원금, 자녀에게 준 아동지원금,통신비 지원 등을 보면 사실 추경 등을 통해 얼마든지 예산을 끌어올수 있다는것을 이미 보여주지 않았습니까. 당장 21년부터 시행이 안된다 하더라도 22년에 시행했을때 21년 출생아들도 소급적용받을수 있도록 정책을 바꿔주세요.</t>
  </si>
  <si>
    <t>저출산이 심각하다는것 이미 누구나 아는 사실입니다.그럼에도 아이를 갖고 싶은 사람들이 있습니다. 그런데 정부발표로 인해 21년출생아들은 더 소외되고 일부는 21년 출생을 포기하는 경우도 있습니다. 하지만 정부에서 소급적용을 약속한다면 가뜩이나 21년출생을 반기지못해 고민하는 가정에 큰 기쁨과 희망이 될것이고 아울러 임신출산을 가벼운마음으로 버틸수 있을것입니다. 이는 나아가 국가를 믿게 되므로 출산장려에 큰도움이 될것입니다.</t>
  </si>
  <si>
    <t>1. 안녕하십니까? 귀하께서 제안해주신 사항(신청번호 1AB-2104-0013590)에 대하여 회신드립니다. 
2. 귀하의 민원 내용은 "21년생 영아수당, 첫만남 이용권 지원"에 관한 것으로 이해되며 다음과 같이 알려드립니다. 
○ 정부는 '함께 일하고 함께 돌보는 사회 구축'을 위해 「제4차 저출산고령사회 기본계획」을 수립·발표하였으며, 향후 5년간 추진할 중장기 계획 중 하나로 아동 출생·육아에 따른 경제적 부담 경감을 위한 "영아수당 지급, 아동 출생시 200만원 바우처 신설" 계획을 발표하였습니다.
○ 두 사업은 대규모 예산이 투입되는 사업으로 신규 도입을 위해서는 지원정책의 타당성 및 효과성 등을 분석하고, 법적 근거 마련, 예산 편성, 시스템 개발 등에 기간이 소요됨에 따라 '21년도 준비기간을 거쳐 ’22년 출생아부터 제도를 도입 할 계획임을 알려드립니다.
○ 다만 제도 도입 후 귀하가 건의하신 내용대로 21년생 아동에게 지급하는 것은 막대한 예산 지출에 대한 사회적 합의·추가적 예산 확보가 필요하며, 제도 도입전 아동 소급지원 규정은 21년생 뿐만 아닌 제도도입 이전의 모든 출생 아동의 형평성의 문제가 발생할 수 있음에 따라 신중한 검토가 필요한 사안으로 현재 우리부에서도 다각적인 방면에서 사업내용을 검토하고 있다는 점을 알려드리며, 귀하께서 제안해주신 내용을 정책 수립시 참고하도록하겠습니다.
3. 답변 내용에 대한 추가 문의사항이 있으신 경우 보건복지부 보육사업기획과(영아수당, 044-202-3567), 출산정책과 (첫만남 이용권, 044-202-3392) 또는 보건복지콜센터(국번없이 129)로 연락주시면 성실히 답변 드리겠습니다.  감사합니다.</t>
  </si>
  <si>
    <t>출산 및 육아교육 의무제</t>
  </si>
  <si>
    <t>우리나라의 출산율은 OECD국가 중 꼴찌입니다.  우리나라의 미래를 생각하면 정말로 심각한 문제라 할 수 있습니다. 젊은 사람들이 아이를 낳지않은 원인이 뭘까요? 첫째, 자녀를 키우는데 너무나 많은 비용이 든다는 것이죠. 둘째, 부모 스스로 자라나는 과정에 행복하지 못했다는 것이죠. 세째, 너무나 좁아진 취업율도 그 원인 중 하나라는 생각이 듭니다. 그밖에도 다양한 원인 때문에 우리나라의 젊은이들이 출산을 주저하고 있습니다.  이런 현상에 대한 정부나 정치인들의 대안은 자녀를 낳으면 돈을 주는 방법을 쓰고 있습니다. 그럼에도 불구하고 부모들은 출산에 대해 주저하고 있는 실정입니다.</t>
  </si>
  <si>
    <t>이 제안이 출산율을 높이는데 어떤 효과를 줄 수 있을지 자신할 수 는 없지만 그냥 생각이나서 적어봅니다. 
이 제안을 하게된 계기는 TV프로 '개는 훌륭하다'를 보면서 든 생각입니다. 이곳에 의뢰를 하는 많은 견주들의 공통점을 보면 개를 어떻게 키우는지 그 방법을 잘 모른다는 겁니다. 그렇다면 우리 부모들은 아이를 키우는데 얼마나 알고 있을까요? 아이를 막 가진 다음 우리는 무엇을 할까요? 사실 내 경험을 살펴보면 아무것도 한것이 없는것 같습니다. 하지만 아이를 갖는 순간 부터 배속의 아이는 모든것을 부모로 부터 제공 받습니다. 그래서 우리 선조들도 아이를 갖게되면 항상 좋은 것만 보고 좋은 것만 들으라고 했습니다. 이제 까지는 태교 부터 출산과정, 육아까지 모두 개인의 몫으로 떠 넘겼습니다. 하지만 이 순간부터 출발선이 달라서는 안될것 같습니다. 대한만국의 모든 국민들이 아이를 갖는 순간 부터 국가에서 교육과 도움을 주면 어떨까 하는 생각에 이 제안을 합니다. 
아이를 갖게 된 순간 부터 드는 병원비를 국가에서 무상으로 지원해줍니다. 그리고 곧바로 부모에게 부모교육을 제공하는 겁니다. 아이를 갖는다는 것은 부모가 된다는 것인데 우리는 단 한번도 부모인적이 없는 초보 부모 입니다. 이들에게 국가는 부모교육을 의무적으로 받게해서 부모가 되면 어떻게 해야하는지 상세히 알려 주는 겁니다. 이때 직장에 다니는 사람은 따로 공가를 낼 수 있도록 해주며 출장비 까지 지급해 줍니다. 저도 개인적으로 부모교육을 받아본 적이 있었는데 알지 못했던 사실을 많이 알 수 있었던 시간이었습니다. 최근 TV프로 중 '금쪽같은 내새끼'에서도 부모들이 자녀에 대해 잘 알지 못해 힘들어하는 모습이 나옵니다. 이런 문제를 해결 할 수 있는 방법 중 하나가 아이를 가진 순간 부터 국가에서 부모교육을 통해 자녀를 가지게 되면 발생할 수 있는 여러가지 것들에 대해 미리 알려 주어 준비할 수 있도록 해주자는 제안 입니다.</t>
  </si>
  <si>
    <t>우리는 누구나 자신의 자녀를 잘 키우고 싶은 마음을 가지고 있습니다.하지만 어떻게 하면 좋을지 몰라서 힘들어하는 경우가 대부분입니다. 예를 들어 아이를 키워본 경험이 있는 사람이라면 아이가 우는데 왜 우는지 몰라 어쩔지 몰라한 경험이 있을겁니다. 이런 문제를 국가가 해결해 주는 겁니다. 아이를 가진 순간부터 들어가는 비용부터 모두 무료로 할 수 있게 국가가 책임져준다면 일단 임신에 대한 경제적 부담을 덜 수 있을겁니다. 나아가 어떻게 아이를 키워야 하는 지에 대해 부부가 같이 교육을 의무적으로 받는 다면 자녀를 키우는데 큰 도움이 되지 않을까 기대해 봅니다. 저는 애를 낳는 다고 돈 몇푼 주는 것보다 이렇게 국가에서 뭔가 임신 때부터 책임져주는 모습을 보일 때 이젠 출산을 해 봐도 되지 않을 까 하는 마음이  생겨나지 않을 까 생각되서 이 제안을 적었습니다.</t>
  </si>
  <si>
    <t>1. 안녕하십니까 귀하께서 국민신문고를 통해 신청하신 제안에 대한 검토 결과를 아래와 같이 안내드립니다.
2. 귀하의 제안내용은 출산장려를 위하여 '출산 및 육아에 대한 부모교육 의무화'로 이해됩니다.
3. 출산 및 육아에 대한 부모교육은 민간 및 지자체 차원에서 활발히 이루어지고 있으며, 정부차원에서도 부모교육에 관심을 갖고 프로그램개발 및 연구에 매진하고 있습니다. 
   최근 '아동학대 대응쳬계 강화방안'의 일환으로 양육수당과 아동수동 신청시 부모교육 영상을 시청하도록 하고 있으며, 부모교육 컨텐츠 확산 및 채널을 다양화하여 부모교육을 확대해 나가고 있습니다.  
   다만, 부모교육을 중앙정부 차원에서 일률적으로 시행하여 의무화 하는 것은  신중한 검토가 필요하며 국민적 합의가 선행되어야 할 사안으로 판단됩니다.
4. 귀하의 제안에 감사말씀드리며, 답변 내용에 대한 추가 설명이 필요한 경우 보건복지콜센터(국번없이 129) 또는 보건복지부 출산정책과(김인애 주무관, ☎ 044-202-3402)로 문의하시면 친절히 안내하도록 하겠습니다. 감사합니다.</t>
  </si>
  <si>
    <t>신혼부부 출산독려</t>
  </si>
  <si>
    <t>역삼각형 구조의 인구감소는  우리나라의 종말을 보는듯 심각하다.
젊은청년들의 일자리 감소와 내집마련의 부담감 등 악재는 넘치고, 
빈부격차를 뛰어넘지 못하는 2030세대들의 자포자기 인식에 따라 결혼을 해도 아이를 갖지 않겠다는 인식이 만연해 있다.</t>
  </si>
  <si>
    <t>[ 결혼을 하는 신혼부부가 혼인신고를 할때 반드시 아래 절차를 거치도록 유도 ]
  - 담당민원창구에 '아이를 가져야하는 이유', 첫째부터 둘째, 세째를 낳을때 주어지는 혜택 등
     '출산'을   독려하는 팜프렛을 제작해서 증정(예산이 있다면 앙증맞은 아이 신발 기념품 증정)  
  - 보건소 모자보건요원 상담</t>
  </si>
  <si>
    <t>유인물이나 팜프렛을 통해 재인식시키는 교육기회 부여로 저출산 생각을 전환
저비용 직간접홍보</t>
  </si>
  <si>
    <t>1. 안녕하십니까? 귀하께서 국민신문고를 통해 신청하신 제안에 대해 다음과 같이 답변드립니다.
2. 귀하께서는 신혼부부의 출산에 대한 인식 개선 방안에 대한 의견을 주신 것으로 이해됩니다. 
3. 보건복지부에서는 저출산고령사회 대응을 위해 출산양육에 대한 가치관 변화와 가족친화적인 사회문화가 정착되도록 국민인식 전환 및 행동변화를 유도하기 위한 캠페인 등을 추진하고 있으며, 향후 저출산 정책을 수립하는 데 있어 귀하의 의견을 참고하도록 하겠습니다.
4. 또한, 정부는 지난해 말 제4차 저출산고령사회 기본계획을 수립하여 발표한 바 있으며, 아이를 낳아 기르는 것이 삶의 어려움이 되지 않고 ‘함께 일하고, 함께 돌보는 사회’를 만들 수 있도록, 제4차 저출산 고령사회 기본계획을 충실하게 이행하고 관계부처 등과 실효성 있는 정책마련을 위해 지속적으로 소통하고 협력할 수 있도록 노력하겠습니다.
5. 답변 내용에 대한 추가 설명이 필요한 경우 보건복지콜센터(국번없이 129) 또는 보건복지부 출산정책과(허소연 주무관, ☏ 044-202-3396)로 문의하시면 친절히 안내하도록 하겠습니다. 감사합니다.  끝.</t>
  </si>
  <si>
    <t>출산 &amp; 돌봄 통합센터</t>
  </si>
  <si>
    <t>◉ 정부기관 인구감소 대책으로 자년출산 가정에 대한 경제적 지원과 출산자녀의
양육 지원 등 확산되고 있으나 정형적이고 간편적으로 실효성이 미흡한 상황입니다.
◉ 일반국민들의 출산자녀에 대한 일시적 지원은 가능하지만 돌봄문화와 교육문제 전반의 중,장기적 지원정책은 부족한 실정입니다.
◉ 인구증가 대책으로 출산지원 정책은 확산되고 있으나 가임여성에 대한 선제적 지원과 출산이후 안정적 사회생활을 위한 지속적인 지원 
시스템은 부족합니다.
◉ 정부기관 출산장려와 인구증가 대책은 사후적 성격이 강하고 경제적 지원 역시 일회성으로서 안정성이 미흡하여 출산부터 육아성장 및 
교육에 이르는 통합적 시스템이 부족한 실정입니다.</t>
  </si>
  <si>
    <t>◉ 출산 및 돌봄 통합센터란???
출산 및 돌봄 통합센터는 정부기관으로서 지방정부와 교육청 및 의료 등 유관기관이 공동으로 참여하여 공적기관의 주관하에 출산이전 임신부터 출산이후 신생아
지원과 초등학교 입학 이전까지 단계적이고 체계적으로 지원하는 통합센터를 의미
합니다.
◉ 통합센터 참여기관
정부기관에서는 출산장려 및 인구증가 정책의 일환으로 주관기관으로서 가장 중요한 시설 및 돌봄을 책임질수 있는 제도지원과 예산 책임지고
의료기관에서는 출산전부터 출산이후까지 건강검진과 태아건강을 위한 통합 프로그램을 지원하는 역할을 수행하며
교육기관에서는 영유아 및 유치원에 이르는 출산자녀의 과정별 교육 및 돌봄교육을 전담함으로서 통합적인 지원센터의 역할 수행이 가능합니다.
◉ 정부기관 예산확보
정부기관에서 통합센터의 건립과 운영에 필요한 예산은 국비를 우선포함하고 센터의 역할과 직무에 따른 현재 부처별 기존예산을 통합함으로서 
가능합니다. 특히 기존 정책사업 예산중에서 시급을 다투는 사업은 자제하고 통합센터 예산에 집중할수 있는 제도적 지원 역시 필수적입니다.
◉ 의료부문 예산
출산이전부터 이후를 포함하는 의료비 예산은 일정부문 출산가정에서 부담을 원칙으로 하고 정부기관 역시 출산지원 및 장려금으로 
일부를 지원함으로서 출산가정의 경제적 부담요인을 최소화 시키는 정책이 필요합니다. 아울러 참여 의료기관은 지역내의 우수한 
의료기관과 협업을 통하여 참여를 유발함으로서 공적기관의 성격을 감안 중저가 의료비 책정으로 참여 유발이 필수적입니다. 
◉ 교육예산
교육부 및 교육청의 기존 돌봄예산과 교육비 지원예산을 근간으로 공적기관의 안정성을 지속적으로 유지하기 위하여 인적,물적 
교육예산의 추가편성 역시 적극  검토가 필요합니다.
◉ 국민경제 및 일자리 창출확산
출산 및 돌봄 통합센터의 공적기관 운영으로 국민경제 인프라 확산은 물론 전문 인력 및 사회적 일자리 창출을 위한 기반조성 역시 가능합니다.</t>
  </si>
  <si>
    <t>◉ 일반국민 대상 출산대상 여성과 가족에 대하여 지방정부 중심 공적기관의 통합적 운영에 따른 안정성과 신뢰성 확보로 참여기회 확산
◉ 출산이전과 출산이후 및 초등학교 입학이전 돌봄과정에 이르는 종합적인 지원센터로서 출산가정의 경제적, 환경적 부담요인 해소
◉ 통합센터의 운영에 따른 국민경제 활성화 기여와 사회적 일자리 창출 효과의 극대화 추구
◉ 정부기관를 중심으로 교육기관 및 의료기관에 이르는 통합적 공동사업으로 중,장기적인 협업정책 수행가능
◉ 출산가능 여성과 가족중심 정부기관를 포함 공적기관의 통합센터 운영에 따른 안정성과 신뢰성 확보로 인구증가 대책 기여</t>
  </si>
  <si>
    <t>1. 안녕하십니까 귀하께서 국민신문고를 통해 신청하신 제안에 대한 검토 결과를 아래와 같이 안내드립니다.
2. 귀하의 제안내용은 출산장려를 위한 정책으로 '출산 및 돌봄 통합센터 설립'으로 이해됩니다.
3. 현재 정부차원에서는 저출산과 관련하여 출산 및 양육에 대한 다양한 정책을 시행하고 있는데, 이는 많은 연구결과를 토대로 예산 등을 고려하여 제도를 만들고 법을 근거로 시행되고 있습니다. 
   출산 및 돌봄 통합센터 설립에 대한 부분도 연구 및 중장기 검토가 필요하며, 법제정 및 재정당국과 협의가 선행되어야 할 사안으로 판단됩니다.
   앞으로도 정부차원에서 국민이 체감할 수 있고 지속가능한 출산장려정책을 만들도록 최선을 다하겠습니다.  
4. 귀하의 제안에 감사말씀드리며, 답변 내용에 대한 추가 설명이 필요한 경우 보건복지콜센터(국번없이 129) 또는 보건복지부 출산정책과(김인애 주무관, ☎ 044-202-3402)로 문의하시면 친절히 안내하도록 하겠습니다. 감사합니다.</t>
  </si>
  <si>
    <t>◉ 정부기관 인구감소 대책으로 자년출산 가정에 대한 경제적 지원과 출산자녀의 양육 지원 등 확산되고 있으나 정형적이고 간편적으로 
실효성이 미흡한 상황입니다.
◉ 일반국민들의 출산자녀에 대한 일시적 지원은 가능하지만 돌봄문화와 교육문제 전반의 중,장기적 지원정책은 부족한 실정입니다.
◉ 인구증가 대책으로 출산지원 정책은 확산되고 있으나 가임여성에 대한 선제적 지원과 출산이후 안정적 사회생활을 위한 지속적인 지원 
시스템은 부족합니다.
◉ 정부기관 출산장려와 인구증가 대책은 사후적 성격이 강하고 경제적 지원 역시 일회성으로서 안정성이 미흡하여 출산부터 육아성장 및 교육에 
이르는 통합적 시스템이 부족한 실정입니다.</t>
  </si>
  <si>
    <t>◉ 출산 및 돌봄 통합센터란???
출산 및 돌봄 통합센터는 정부기관으로서 지방정부와 교육청 및 의료 등 유관기관이 공동으로 참여하여 공적기관의 주관하에 출산이전 
임신부터 출산이후 신생아 지원과 초등학교 입학 이전까지 단계적이고 체계적으로 지원하는 통합센터를 의미 합니다.
◉ 통합센터 참여기관
정부기관에서는 출산장려 및 인구증가 정책의 일환으로 주관기관으로서 가장 중요한 시설 및 돌봄을 책임질수 있는 제도지원과 예산 책임지고
의료기관에서는 출산전부터 출산이후까지 건강검진과 태아건강을 위한 통합 프로그램을 지원하는 역할을 수행하며
교육기관에서는 영유아 및 유치원에 이르는 출산자녀의 과정별 교육 및 돌봄교육을 전담함으로서 통합적인 지원센터의 역할 수행이 가능합니다.
◉ 정부기관 예산확보
정부기관에서 통합센터의 건립과 운영에 필요한 예산은 국비를 우선포함하고 센터의 역할과 직무에 따른 현재 부처별 기존예산을 
통합함으로서 가능합니다. 특히 기존 정책사업 예산중에서 시급을 다투는 사업은 자제하고 통합센터 예산에 집중할수 있는 제도적 지원 
역시 필수적입니다.
◉ 의료부문 예산
출산이전부터 이후를 포함하는 의료비 예산은 일정부문 출산가정에서 부담을 원칙으로 하고 정부기관 역시 출산지원 및 장려금으로 일부를 지원함으로서 출산가정의 경제적 부담요인을 최소화 시키는 정책이 필요합니다. 아울러 참여 의료기관은 지역내의 우수한 의료기관과 협업을 통하여 참여를 유발함으로서 공적기관의 성격을 감안 중저가 의료비 책정으로 참여 유발이 필수적입니다. 
◉ 교육예산
교육부 및 교육청의 기존 돌봄예산과 교육비 지원예산을 근간으로 공적기관의 안정성을 지속적으로 유지하기 위하여 인적,물적 교육예산의 추가편성 역시 적극  검토가 필요합니다.
◉ 국민경제 및 일자리 창출확산
출산 및 돌봄 통합센터의 공적기관 운영으로 국민경제 인프라 확산은 물론 전문 인력 및 사회적 일자리 창출을 위한 기반조성 역시 가능합니다.</t>
  </si>
  <si>
    <t>출산 장려 정책 중 엄마를 위한 산후 미용관리/체형관리 등 바우처 사업 정책 건의</t>
  </si>
  <si>
    <t>안녕하세요.
저는 5명의 자녀를 둔 아빠입니다.
저출산으로 상당한 정책을 내보내고 있는데도 불구하고 계속 감소하는 출산율에 걱정이 많으시죠?
저도 우리 미래에 아이가 없는 세상이 될 것 같아 걱정이 많은 사람입니다.
많은 저출산 해소 정책에도 불구하고 아이를 낳고 키우기란 여간 어렵고 힘든 일이라 낳고 키우는 것보단 혼자 잘 살다 가는 것이 좋다는 생각, 저 뿐만 아니라 모두가 한 번 쯤은 해보았을 것입니다.
남자가 아이를 출산하면 이런 건의도 하지 않을 텐데...여성만의 가지고 있는 출산의 특권인지라 조금 엽기적인(?) 정책 제안을 드리고자 합니다.
저출산 해소 정책은 육아수당, 자녀 돌봄, 바우처 등 교육분야에 초점이 많이 맞추고 있는데 정작 우리 여성에 대한 인센티브 정책은 쉽게 찾아보기 힘들 것이 사실입니다.
요즘은 아빠도 육아를 많이 하지만 정작 엄마를 위한 정책은 드문 것이 현실입니다.
그리하여 우리 엄마를 위한 정책을 하나 건의 드리고자 합니다.</t>
  </si>
  <si>
    <t>출산 후 엄마들이 많이 걱정하는 것 중에 하나 인데 바로 아줌마 몸매 되는 것이지요.
아이를 낳았으니 당연하다는 생각, 나이가 들고 있으니 당연하다는 생각으로 살다 보면 나중에 자신감도 많이 떨어지고 우울증을 겪는 일도 많아집니다.
모든 여성이라면 미용이나 몸매 관리에 많이 신경을 쓰고 일부는 출산 후 몸매나 미용 관리에 많은 지출을 하기도 합니다.
출산 후 엄마들을 위한 정책으로 건의 드리고자 하는 것이 바로 미용과 몸매 관리 등 의 지원 사업입니다.
좋게 말하면 건강 관리이고 조금 부정적으로 보면 미용이나 체형 관리가 되겠지요.
예를 들면
1. 아이를 출산하고 모유 수유를 하는 경우 현재 모유 수유에 대한 지원 사업이 어느 정도 진행되고 있는데 그것에 업그레이드 버젼으로 모유 수유 이후에 유방 확대 수술를 지원하는 사업입니다.
2. 다출산 후휴증인지는 의학적으로는 모르겠으나 미혼 시절 가졌던 가슴 싸이즈가 변형이 되거나 작아지는 경우에 한하여 출산 이후 엄마만을 대상으로 확대 시술 시 의료보험이 적용되게 하는 제도입니다.
3. 산후 체형 관리를 위한 휘트니스 이용권 지원 사업과
4. 자녀가 어느 정도 성장하여 청소년기에 접어둘 무렵 엄마, 아빠와 함께하는 운동 프로그램 지원 사업
5. 피부 관리를 위한 스킨 케어 의료 서비스 지원 사업
등등 다양하면서 실제 생활과 밀접한 지원 사업을 더 확대하는 것입니다.</t>
  </si>
  <si>
    <t>아이를 출산하고도 결혼 전 몸매를 꿈꾸는 엄마는 대부분일 것입니다.
아이를 출산하고 자기 몸 관리를 제대로 못하는 엄마들을 위한 프로그램으로 향후 엄마들이 겪을 수 있는 자신감 결여, 특히 자녀가 어느 정도 성장한 후 워킹 맘이 되었을 때 피부나 몸매 관리를 잘하여 생기는 자신감은 사회생활에 큰 보탬이 될 것입니다.
몇몇 엄마들에게 이러한 정책 제안을 설명하였더니 여성 입장에서 상당히 좋은 생각이고 많은 엄마들이 좋아할 것이라고 말하였습니다.
정책은 돈이나 물질적인 지원도 매우 중요하지만 행복감, 자신감을 불어 넣어주는 정책이야말로 더 좋은 정책이 아닌가 합니다.
감사합니다.</t>
  </si>
  <si>
    <t>1. 안녕하십니까? 귀하께서 국민신문고를 통해 신청하신 제안 제안내용은  "산모 미용 및 체형관리 바우처 지원"으로 판단되며 검토결과를 아래와 같이 안내해 드립니다.
2. 정부는 '함께 일하고 함께 돌보는 사회 구축'을 위해 「제4차 저출산고령사회 기본계획」을 수립·발표('20.12월)하였으며, 향후 5년간 추진할 중장기 계획 중 하나로 "영아수당 지급, 아동 출생시 200만원 바우처 신설(첫만남이용권)" 계획을 발표하였으며, 이를 통해 출산·육아에 따른 경제적 부담 경감 및 산모를 위한 지원이 가능할 것으로 판단됩니다.
3. 현재 정부차원에서는 저출산과 관련하여 출산 및 양육에 대한 다양한 정책을 시행하고 있는데, 이는 많은 연구결과를 토대로 예산 등을 고려하여 제도를 만들고 법을 근거로 시행되고 있습니다. 산모에 대한 미용 및체형관리 바우처 지원에 대해서도 연구, 법제정 및 재정당국과 협의가 선행되어야 할 사안으로 판단됩니다.앞으로도 정부차원에서 국민이 체감할 수 있고 지속가능한 출산지원정책을 만들도록 최선을 다하겠습니다.  
4. 귀하의 제안에 감사말씀드리며, 답변 내용에 대한 추가 설명이 필요한 경우 보건 복지콜센터(국번없이 129) 또는 보건복지부 출산정책과(김인애 주무관, ☎ 044-202-3402)로 문의하시면 친절히 안내하도록 하겠습니다. 감사합니다.</t>
  </si>
  <si>
    <t>저출산 해소방안의 하나로 다자녀 달성 성과를 이룬 가정에 대한 인센티브 제공</t>
  </si>
  <si>
    <t>- 자녀가 많으면 많을수록 보육 및 교육비부담과 생활비 증가로 노후를 준비할수 있는 재테크의 여력이 없이 노후를 맞이 해야하는 불안때문에 출산을 하지 않거나 1명정도를 두는것이 요사이 사회현상이다 
- 대부분 딸들은 출가 후에도 친정집 근처로 정착하여 제일 부담이 적게가는 친정부모의 육아도움을 받아  출산하는 경우가 많고, 친정부모는 애지중지 보살피게 되고 부모는 자신도 모르게 다리 허리 등 통증의 잠재된 병을 얻어 노년기에   발생하고 있어도 자식들을  모르고 넘어가는 경우가 많다고 한다.
- 부모세대시절에는 중학교 고등학교는 유상,  대학교는 비싼 등록금을 부담과 도시락은  점심 저녁식까지 지참해서 보내는 등 자녀의 미래를 위해 헌신하게 되고 (자식을 많이 둔 죄), 현재 세대에서는 볼떄 상상할수도 없는  대가족을  이루어 국가발전에 이 노년기 어르신이 많다.  국가 발전에 기여하였다
- 현재 각종 양육수당  확대지원 및 돌봄서비스가 개선 된다고 해도   친부모가  돌보는 것을  출산자로서는 제일  선호하고 있으므로  친부모에게  직접지원제도 신설필요
 </t>
  </si>
  <si>
    <t>-  많은 손자를 두어  후손(손자)을  번성케(8-10명이상) 한  부모에게 노후 보상차원 인센티브 제공( 현재의 수혜에 대한 역차별 해소)
       * 보상금 ,  각종 국가기관  및 유료도로 ,주차장 무료이용 편의 제공 등
 -  육아 돌봄 조부모(특히 친정 노부모)에게 육아수당 직접지원 제도 신설, 3명까지 확대
출산여건조성</t>
  </si>
  <si>
    <t>- 부모의 노력제공(특히친정부모)이 용이한 경우  자녀의 출산 부담이 줄어 들고  자녀를  두지 않거나 하나 만 두겠다는 인식 감소.
-육아 여건 조성으로 출산 불안을 해소</t>
  </si>
  <si>
    <t>1. 안녕하십니까? 보건복지부 인구정책총괄과입니다. 귀하께서 국민신문고를 통해 신청하신 민원에 대한 검토 결과를 다음과 같이 알려드립니다.
2. 귀하께서는 다자녀를 출산한 여성에 노후보상차원의 인센티브 제공, 육아 돌봄 조부모에 수당 지원 등을 건의하신 것으로 이해됩니다.
3. 다자녀 출산한 고령의 부모들의 노고에 대해 공감하는 바이나, 현 저출산정책은 결혼·출산을 가로막는 사회구조 전반에 대한 근본적 개선을 통해 아이를 낳아 잘 기를 수 있는 사회환경을 구축하는 정책을 중심으로 추진되는 바, 노후 보상차원의 인센티브 제공을 하는 것은 정부정책 취지와 맞지 않을 것으로 판단됩니다. 노후보장을 위해 정부에서는 기초연금, 국민연금 등의 노후소득보장제도를 운영하고 있음을 알려드립니다.
6. 또한 제안하신 조부모 돌봄수당 관련, 현재 정부에서 지원하는 양육부담 경감을 위해 만 2세 미만 아동에 월 30만원의 영아수당, 어린이집을 이용하지 않는 만 7세 미만 아동에는 가정양육수당을 지원하고 있습니다. 이러한 수당과의 중복여부, 실제 육아조력자의 범위, 추가 투입되는 예산 범위등의 다각도의 검토가 필요할 것으로 판단됩니다. 
7. 이에 귀하의 제안은 현행 저출산제도의 취지와 목적에 위배되어 불채택 처리함을 알려드립니다. 귀하의 가정에 평안과 행복이 깃드시길 바라며, 기타 문의사항이 있으신 경우 보건복지부 인구정책총괄과(044-202-3367) 또는 보건복지콜센터(국번없이 129)로 연락주시면 안내드리겠습니다. 감사합니다.</t>
  </si>
  <si>
    <t>자녀가 많은 부모는  많을수록 보육 및 교육비부담과 생활비 증가로 재테크의 여력 없이 노후를 맞이 해야 한다. 
부모는 초등학교,중학교, 고등학교는 유상으로 공납금 납부하고 점심 저녁까지 도시락 지참 해서 보내고, 대학교는 비산 등록금 부담해서라도 자녀의 미래를 위해 보냈다 (자식을 많이 둔 죄), 그리고 대가족을 이룬 가정은 노력의 결과로  국가발전에 기여하였다. 
  요사히 자녀들은 출산을 귀찮게 여기고 출산을 하지 않거나 1명정도를 두는 사회현상이 일어나고 있다. 대부분 딸들은 출가 후에도 친정집 근처로 정착하여 제일 부담적은 친정부모의 도움을 받아 출산 육아하는 경우가 많고. 친정부모는 할 수 없이  자신도 모르게 다리 허리 등 잠재된 통증이 있어도 애지중지보살피게 되고  노년기에  불편이 발생해도 자식들은 은공모르고 넘어가는 경우도 많다. 현재 각종 양육수당 확대지원 및 돌봄서비스가 개선 된다고 해도 친부모가 돌보는 것을 출산자로서는 제일 선호하고 있으므로 친부모에게 직접지원제도 신설필요</t>
  </si>
  <si>
    <t>많은 자녀를 두어 후손(8명이상)을 번성케 한 부모에게 노후 보상차원 인센티브 제공
제일 안전하게 육아여건을 조성하게 하는 친부모 에게 육아수당 직접지원 하는제도 신설(현재와 과거의 역차별 해소)</t>
  </si>
  <si>
    <t>출산의 불안을 해소 및 출산여건 조성</t>
  </si>
  <si>
    <t>1. 안녕하십니까? 보건복지부 인구정책총괄과입니다. 귀하께서 국민신문고를 통해 신청하신 민원에 대한 검토 결과를 다음과 같이 알려드립니다.
2. 귀하께서는 저출산 해결을 위해 1)다자녀가구에 인센티브 제공 등 지원 강화 2)양육지원자인 조부모에 직접 지원제도 신설을 건의하신 것으로 이해됩니다. 
3. 우선, 다자녀 가구에 인센티브 제공 등 지원강화 제안 건에 대한 답변을 드리겠습니다. 
 - 저출산고령사회위원회에서는 다자녀지원 과제를 발굴하기 위해 정책연구, 부처협의등을 통해 다자녀 지원 기준개선 및 대통령 지시사항을 반영하여 제4차 저출산고령사회 기본계획(2021-2025)에 포함화여 발표 2021.12.15.)한 바 있습니다.
 - 제4차 기본계획에 따라 다자녀 지원기준을 2자녀로 개선하는 방안*을 단계적으로 추진할 예정이며, 다자녀가구 지원 협의외를 구성화여 다자녀 지원 기준 개선사업 발굴 및 이행사항을 지속적으로 점검할 예정입니다.
 * 다자녀 국가장학금 개선(3자녀이후 등록금 전액 면제 등), 다자녀 주거지원 확대(평형확대, 거주기간 보장 등)
 - 이에 기 시행중인 과제로서 귀하의 제안을 불채택함을 알려드립니다.
4. 두번째로, 양육지원자인 조부모에 대한 직접 지원제도 신설 건에 대해 답변드리겠습니다.
 - 불충분한 돌봄서비스로 인해 조부모의 양육지원을 받는 문제점 등을 해결하기 위해 제4차 저출산고령사회기본계획에서는 돌봄서비스의 공공성 등 사회적 책임을 강화하기 위해 국공립어린이집, 유치원을 지속적으로 확충하고 장시간,단시간 긴급보육 등 다양한 유연한 돌봄서비스를 지속적으로 확충하는 방안 발표한 바 있습니다. 
 - 또한, 양육비경감을 위해 부모에게 지원되는 영아수당 및 아동수당 정책이 도입되고 있는바, 이와 별개의 조부모 양육지원 수당도입을 위해서는 사회적 합의가 선행되어야 하는 등 신중한 검토가 필요한 사항임을 알려드립니다.
  * 영아수당 : '22년부터 0~24개월 영아에게 매월 30만원 지급
  * 아동수당 :  0~7세 아동에게 매월 10만원 지급
 - 이에, 영유아 돌봄을 더욱 확충하고, 양육비 지원하는 정책이 기 시행되는 바 귀하의 제안을 불채택함을 알려드립니다.
5. 귀하의 가정에 평안과 행복이 깃드시길 바라며, 기타 문의사항이 있으신 경우 출산고령사회위원회 평등권리과(02-2100-1244) 또는 보건복지부 인구정책총괄과(044-202-3367) 또는 보건복지콜센터(국번없이 129)로 연락주시면 안내드리겠습니다. 감사합니다.</t>
  </si>
  <si>
    <t>출산미경험자 어린이집교사취업어렵게</t>
  </si>
  <si>
    <t>사회적문제로 대두돼는 어린이학대사건은 오늘내일의 일도아니며 우리가족 우리이웃의 문제점이다. 적어도 출산경험이 있는 교사가 출산미경험자보다는 애들 다루기가 수월할 것이다.</t>
  </si>
  <si>
    <t>교사채용시 면접과 인성검사 난이도를 상향조정함으로 바르지못한 인성은 절대 어린이집교사로 채용될수 없게 조정해야 한다. 또한 출산미경험자는 서류심사에서도 심오한 주의를 기울여야한다</t>
  </si>
  <si>
    <t>효과까진 바라진않겠다.
눈에 넣어도 아프지 않을 내새끼 때문에
억장이 무너지는 엄마아빠가 더이상 생겨나질 않길 바랄뿐이다.</t>
  </si>
  <si>
    <t>1. 안녕하십니까? 귀하께서 국민신문고를 통해 보건복지부 업무와 관련하여 신청하신 제안에 대해 안내드립니다.
2. 귀하의 제안내용은 '출산경험 있는 여성의 보육교사 우선 채용 고려 등'으로 이해되며, 검토 의견은 다음과 같습니다.
   ○「보육사업안내」에 따라 국가 또는 지방자치단체로부터 보육교직원의 인건비를 보조받는 어린이집의 경우 보육교직원의 채용은 공개경쟁을 원칙으로 하며,
     - 국공립 어린이집의 경우 국가 또는 지방자치단체의 장이 선발고사 등을 통하여 별도로 보육교사를 채용·배치 할 수 있습니다.
    ○ 한편, 어린이집의 임면권자(설치자 또는 원장)는 원의 운영상황 등을 고려하고 담당업무에 대한 지식, 숙련도, 경력 등을 감안하여 어린이집의 보육 목표와 운영 방향에 적합한 보육교사를 채용하기 위하여, 
     - 필요한 경우 심층면접, 인·적성 검사 실시 등 공정한 채용·심의 절차를 진행한 후 그 결과에 따라 채용할 수 있습니다.
    ○ 다만, 귀하가 말씀하신 '출산경험 있는 여성의 채용 우대'에 대하여는 출산경험자의 채용과 관련한 사회적 합의, 인력 수급 상황 등에 대하여 종합적이고 충분한 검토가 필요함을 양해하여 주시기 바라며, 향후 제도개선 시 소중한 의견으로 참고하도록 하겠습니다.
3. 다시 한번 소중한 의견을 주셔서 감사드리며, 다른 문의사항이 있으신 경우 보건복지부 보건복지상담센터(국번 없이 129) 또는 보육정책과(민혜원, 044-202-3554)로 연락주시기 바랍니다. 감사합니다.</t>
  </si>
  <si>
    <t>저출산 원인인 유아 양육비 부담 해소 실행 방안</t>
  </si>
  <si>
    <t>-유아용품 구매관리 상거래시스템을 개발 및 운영
-시스템이라고 한다면 PC 및 모바일에서 유아용품을 구매하는 앱/웹 개발
-보호자가 출생증빙을 시스템에 등록하면 유아 0세~3세까지 지불하는 유아용품 비용 일부 지원
-비용 일부 지원 방안이란 유아용품 판매가격에 10%~30%까지 정부가 할인지원 가능함
-중소기업이 제조하는 육아용품 지원 효과
-전자상거래시스템에서 거래비용을 정산하므로 공정하고 투명한 거래 가능</t>
  </si>
  <si>
    <t>1. 안녕하십니까? 보건복지부 인구정책총괄과입니다. 귀하께서 국민신문고를 통해 신청하신 민원에 대한 검토 결과를 다음과 같이 알려드립니다.
2. 귀하께서는 양육비용지원 통한 저출산 해결방안을 제안해주신 것으로 이해됩니다.
3. 정부는 작년말 수립한 제4차 저출산 고령사회 기본계획(2021-2025)에서 부모의 영아기 아동을 돌볼 권리를 보장해주고,‘아이가 가족과 함께 하는 시간’을 보장할 수 있는 사회로 나아가기 위해, 육아휴직 사각지대 해소와 남성 육아휴직 확대를 위한 3+3 부모공동 육아휴직제, 영아수당 도입, 첫만남 꾸러미 확대 등 영아기 집중투자, 다자녀가구 주거지원 강화 등의 정책들을 추진·마련하기로 했습니다.
4. 특히, 귀하의 제안과 같이 생애초기 양육부담을 경감할 수 있도록 아래와 같은 비용지원 정책이 '22년부터 시행될 예정임을 알려드립니다.
 - 첫만남꾸러미 : 임신시 100만원 지원(기존) + 출산시 영아1명당 200만원(신규도입)
 - 영아수당 : 기관미이용 0~1시 영아에게 매달 30만원 지원
5. 다만, 귀하의 제안 중 자유시장경제체제에서 정부개입으로 보여지는 정부주관 육아용품 상거래 시스템을 개발건은 신중한 검토가 필요함을 알려드립니다.
6. 이에 귀하의 제안은 기시행 예정인 정책이며 중장기검토가 필요한 사항으로 불채택함을 알려드립니다. 끝.</t>
  </si>
  <si>
    <t>대한민국 출산율 높이기</t>
  </si>
  <si>
    <t>대한민국은 전 세계에서 출산율이 가작 낮아져서 가장 먼저 사라질 나라가 될 것이라고 합니다. 정부에서는 어떻게든 출산율을 높이기 위해서 노력을 하고 있지만 좀 처럼 출산율이 올라가지 않고 있습니다.</t>
  </si>
  <si>
    <t>태아의 날을 만듭니다.
예) 아기가 엄마 배 속에서 구부리고 있는 모양을 형상을 따 6월 6일</t>
  </si>
  <si>
    <t>태아의 날을 만들면 자연스럽게 국가와 지자체에서 관심을 가지고 홍보를 하고, 그러면 가장 작은 인권에 관심을 가지면서 대한민국의 출산율을 높여서 국가 경쟁력을 강화할 될수 있을 것이다.</t>
  </si>
  <si>
    <t>1. 안녕하십니까? 보건복지부 인구정책총괄과입니다. 저출산정책에 깊은 관심을 갖고 민원을 주신 것에 대해 감사드리며, 국민신문고로 접수된 귀하의 제안(신청번호:1AB-2108-0020760)에 대해 다음과 같이 답변드립니다.
2. 먼저, 인구정책에 관심을 가지고 의견주심에 감사드립니다. 귀하께서는 출산장렬를 위해 태아의 날(6월 6일) 지정에 대해 건의하신 것으로 이해됩니다.
3. 저출산 고령사회 기본법 제30조의2에 따라 인구구조 불균형이 초래하는 정치적,경제적, 사회적 파급영햐에 대하여 국민의 이해와 관심을 높이고, 저출산, 고령화 대으에 민간의 참여를 유도하기 ㅇ뉘해 매년 7월 11일을 인구의 날로 정하였으며, 취지에 적합한 행사와 교육, 홍보사업을 실시하도록 되어 있습니다.
4. 이에 귀하께서 제안한 태아의 날과 유사한 취지로 저출산,고령화 대응을 위한 기념일을 이미 영하고 있는바, 귀하의 제안은 불채택되었음을 알려드립니다. 
5. 귀하의 가정에 평안과 행복이 깃드시길 바라며, 기타 문의사항이 있으신 경우 보건복지부 인구정책총괄과(044-202-3367) 또는 보건복지콜센터(국번없이 129)로 연락주시면 안내드리겠습니다. 감사합니다.</t>
  </si>
  <si>
    <t>인구감소를 산모 출생비용, 산후조리비 까지 정부부담 인구증가 방안 제안</t>
  </si>
  <si>
    <t>제 2021.8.14-5호 신생아출산 과 정부의 과제.hwp</t>
  </si>
  <si>
    <t>현재 대한민국은 인구가 감소하고 있습니다.
초등학교는 폐교가 되는곳이 해해년년 일어나고 있습니다.
초등학교 한반은 15명 , 20명으로 텅텅빈 교실과 교사는 15명을 20명을 가르키는 반이 많습니다. 
초등학교가 이렇게 되니 중,고들 학교도 마찬 가지 입니다.
인구 감소 는 학생이 감소되고 학교가 폐교되는 현실이 나오고 있습니다.
산부인과 는 산모가 찿지 않으니 문을 닫는곳이 늘어난다는 뉴스와 보도가 있습니다.</t>
  </si>
  <si>
    <t>1. 산모출산 비용을 보건 복지기금으로 전면 부담 하여야 합니다 
1). 산부인과 출산비용
2). 산모 산후조리비 입원  3일 비용 부담 
2. 3인이상 남자 3인 출산 4인 출산시  남자는 병역면제 
3. 4인출산 남자 5인 이상 출산 남자는 대학교 졸업까지  
    초,중,고, 대학 등록금 만  무상 정부지원</t>
  </si>
  <si>
    <t>전 세계적으로 인구가 줄어들고 있습니다.
중국도 마찬 가지로 인구가 줄어든다는것 입니다.
어느 국가이던지 국방이 문제입니다.
대한민국은 학교가 시내이고 시골이고 폐교가 되고 텅텅비였습니다.
군소재지  중학교 한학년이 30명 
교사가 맘으니까 15명씩 2반 관리 
중학교 전체 6반 
전교생이 90명~  100명이 안 됨니다.
중학교가 이러면 고등학교도 마찬가지 입니다.
교사 14~16명 , 행정팀 3~5명, 교감 1, 교장1,  합치면 23~25명  입니다.
60년~ 80년 대 까지만 해도 초등학생이  많았습니다.
차츰 줄어들어 이제는 폐교위기 입니다.
관내 2~3개 초등학교를 통합하여 한곳만 운영해도 됨니다.
그렇게하고 있습니다.
버스로 학생을 싫고 오고하면 충분이  교육이 가능합니다.
국방 역시 문제가 될 것 입니다.
군인이 줄어 듬니다.
인구 출산을 하지않고 있습니다.
산업인구가 줄어들면 공장 가동이 힘 들고 생산에 차질이 옵니다
자동화를 하면 실업자가 발생 합니다.
생산한 소비재를 많이 사용해서 소비를 시켜야 산업이 발전하고 경제가 성장 합니다.
인구가 줄어들면 이 모든것이  장애를 받습니다.
정부는 인구를 증산 해야 합니다.</t>
  </si>
  <si>
    <t>1. 안녕하십니까? 귀하께서 국민신문고를 통해 신청하신 제안(신청번호 1AB-2108-0017886)에 대하여 회신드립니다.
2. 귀하의 제안 중 보건복지부 소관인 "산부인과 출산비용 및 산모 산후조리비 입원 3일 비용 국가 부담"에 대하여 보험급여과와 출산정책과에서 각각 답변을 드립니다.
 &lt; 보험급여과 답변 &gt;
  ○  임신·출산 진료비 지원은 「국민건강보험법」제50조(부가급여) 및 같은 법 시행령 제23조에 의하여 임신·출산과 관련된 진료 및 처방된 약제·치료재료의 구입에 드는 비용을 지원하고 있습니다.
  ○ 현행 급여기준(~2021. 12. 31.)
    - 신청 및 사용: 임신이 확인되면 가능하며, 사용 기간은 국민행복카드 발급받은 후 출산일(분만예정일)로부터 1년이 되는 날까지
    - 지원: 한 명의 태아를 임신·출산한 경우: 60만 원
            둘 이상의 태아를 임신·출산한 경우: 100만 원
  ○ 변경 예정 급여기준(2021. 1. 1.부터~)
    - 신청 및 사용: 임신이 확인되면 가능하며, 사용 기간은 국민행복카드 발급받은 후 출산일(분만예정일)로부터 2년이 되는 날까지
    - 지원: 한 명의 태아를 임신·출산한 경우: 100만 원
            둘 이상의 태아를 임신·출산한 경우: 140만 원
  ○  변경 급여기준은 ‘제4차 저출산·고령사회 기본계획(2020.12.15. 발표)’에 따른것으로, 이에 따라 올해 국민건강보험법 시행령(6.30.)이 개정되었으며, 2022.1.1.부터 시행 예정입니다.
 &lt; 출산정책과 답변 &gt; 
  ○ 정부는 '함께 일하고 함께 돌보는 사회 구축'을 위해 「제4차 저출산고령사회 기본계획」을 수립·발표('20.12월)하였으며, 향후 5년간 추진할 중장기 계획 중 하나로 "영아수당 지급, 아동 출생시 200만원 바우처 신설(첫만남이용권)" 계획을 발표하였으며,
이를 통해 출산·육아에 따른 경제적 부담을 경감할 수 있을 것으로 판단됩니다.
  ○ 또한 국가에서의 산후조리원 이용비용 지원은 출산후 산후조리원을 이용하지 않는 산모들과의 형평성 문제도 고려해야하는 등 신중한 접근이 필요한 것으로 판단됩니다. 
3. 답변 내용에 대한 추가 문의사항이 있으신 경우 보건복지부 보건복지콜센터(국번없이 129) 또는 보험급여과(044-202-2726), 출산정책과(첫만남이용권, 044-202-3398), 보육사업기획과(영아수당, 044-202-3567)로 연락주시면 성실히 답변 드리겠습니다. 감사합니다.  끝.</t>
  </si>
  <si>
    <t>출산율 높이기</t>
  </si>
  <si>
    <t>현제 자녀를 둔 부모님들한테는 도움은 뎌지만 직접적인 도움이 필요하다고 생각합니다.</t>
  </si>
  <si>
    <t>다른지원 말고 자녀한명이면 매달일백지원 두명은 이백, 세자녀이후부터는 삼백을 고정적으로 19세(나이는 조정가능)까지 지원하면 됨니다.</t>
  </si>
  <si>
    <t>엄마는 힘들여서 일할 필요없고 자식한테 올인할수 있고 .  즉 자식 낳고 키우는게 직업이 되는 겁니다. 두자녀만 낳아도 이백이면 아빠혼자 벌어도 어느정도는 여유있는 생활을하지  안을까 생각해봅니다.
프랑스가 이런 식으로 관리하여 출산율이 많이 올라갔다고 합니다.</t>
  </si>
  <si>
    <t>1. 안녕하십니까? 보건복지부 인구정책총괄과입니다. 귀하께서 국민신문고를 통해 신청하신 민원에 대한 검토 결과를 다음과 같이 알려드립니다.
2. 먼저 인구정책에 관심을 가지고 의견주심에 감사드립니다. 귀하께서는 출산장려를 위해 자녀당 1백만원 수준의 수당을 일정나이까지 지급하는 방안을 제안하신 것으로 이해됩니다.
3. 정부는 기존의 출산장려 위주의 정책에서 벗어나 모든 세대의 삶의 질을 높이는 정책으로 전환하여 전 생애 삶의 질 제고를 강조한 제4차 저출산·고령사회 기본계획(2021-2025)을 발표하였습니다. 
5. 제4차 기본계획에는 귀하의 제안과 유사한 첫만남이용권(임신시 100만원, 아동출생시 200만원 지원), 영아수당(24개월까지 월 30만원 지원), 육아휴직급여(부모 각각 3개월간 최대 월300만원) 등 출산,양육 보조금 지원과 안정적인 주거지원을 확대 등 양육부담을 완화하는 정책 외에 삶의 질 향상, 성평등 구현, 인구변화 대비 사회 전체 역량제고를 위한 다양한 정책도 반영되어 있음을 알려드립니다.
  - 귀하께서 제안한 금액에 미치지는 못하지만 부모가자녀를 양육함에 있어 사회적책임을 다하기 위해 더울 노력하겠습니다. 
6. 다만, 제4차 기본계획에서는 국민 개인의 선택을 존중하면서 결혼,출산을 가로막는 사회구조 전반에 대한 근본적 개선이 필요하다는 점을 인지하고, 다소 시간이 걸리더라도 저출산 문제의 보다 근본적인 해결을 위해 우리 사회의 고비용 구조를 개선해 나가면서 '아이 키우기 좋은 환경'을 조성하는데 중점을 두고 정책방향을 전환한 만큼 귀하의 제안과 같이 남성의 경제활동과 여성의 아이돌봄의 효과를 기대하고 이와 같은 정책을 추진하지 않는 것임을 알려드립닌다.
7. 이에 귀하의 제안과 유사한 제도도입을 준비하고 있는 점, 기대효과가 제4차 기본계획의 취지에 맞지 않는 점을 들어 귀하의 제안을 불채택함을 알려드립니다. 
8. 귀하의 가정에 평안과 행복이 깃드시길 바라며, 기타 문의사항이 있으신 경우 보건복지부 인구정책총괄과(044-202-3367) 또는 보건복지콜센터(국번없이 129)로 연락
주시면 안내드리겠습니다. 감사합니다. 끝.</t>
  </si>
  <si>
    <t>우리나라 저출산 이대가 가다가는 나라 망합니다.</t>
  </si>
  <si>
    <t>요즘 여자들이 아이를 낳지 않습니다. 이것을 어떻게 해결할까 생각해 보았습니다.</t>
  </si>
  <si>
    <t>여자들이 안정적인 상황이 될때 애를 낳습니다. 가정이 안정적일때 애를 낳는것입니다.
그래서 생각해 보았습니다 지금 4쌍중에 1쌍이 이혼하고 가정은 위기가 오는 것입니다.
그럼 왜 이혼할까요 대부분이 경제적인 이유가 큽니다. 그리고 3쌍도 애를 안 낳습니다.
결국 이 문제는 정부에서도 여러가지 생각을 하겠지만 결국 동사무소에서 업무를 하나 더 주고
군인들을 3명정도 각 동사무소에 배치해서 20대-40대 미혼 여성들에게 설문조사를 해서 
데이터 베이스를 만들어서 근문 적인 문제점을 파악해야 하며 결국 70% 이상이 나오는 문제들을 
우선순위를 두고 먼저 개선해 나가는 것이 중요합니다. 문제는 다른 방법으로 해결할수도 있습니다
통일이 된다든지 뭐 이런 방식으로요 하지만 그건 추상적인 것이고 직접적으로 문제를 해결해 나가야
하는 것입니다.</t>
  </si>
  <si>
    <t>지금 우리나라는 위기 입니다. 그 이유는 인구 감소 입니다. 심지어 젊은 여자들에게 
경제력이 있는 중년이 인기가 있다고 하고 유행이라고 하니  미친 나라가 되어 가고 
있습니다. 그러니 저의 생각으로는 여러가지가 있긴 하지만 결국 아이를 하나 놓으면 
1억이 들어간다는 이야기가 나오니 아무도 1명 이상은 불가능하다고 생각하는겁니다.
1위 교육비 보통 한 아이당 50만원은 기본이죠 
2위 집값  보통 40만원이 기본이죠 
3위 식비 보통 40만원이 기본이죠 
결국 제가 생각할때는 정부에서 교육을 책임져야 한다고 생각합니다. 아무도 자기 애를 
노예로 이나라에서 살게 하고 싶지는 않을 겁니다. 그러니 50만원 100만원 다 투자하는거죠
그리고 집값 아무리 돈을 벌어도 집을 산사람의 가격이 오르는걸 따라가지 못합니다.
결국 집을 아무 걱정없이 살도록 해주는것이 기본이죠.
그리고 식비 물가 잡는것이 우선 순위죠 그리고 임금은 올리고요 
그런데 꼭 보면 물가를 올리는 근본적인 식품 농심 신라면 가장 먼저 정부가 힘이 없을때 
올리고 서민들은 정부 탓하게 만드는 삶이 힘들다고 그걸 유도 하는 놈들이 있죠 
딱 3가지만 해결하면 간단할것 같은데 또 하나  더 있다고 치면 능력에 따라 신분계층의 
이동이 쉬운 사회 시스템을 만드는것요 결국 우리나라의 기득권층이 무너져야 나라가 
부패하지 않는다는것 끊임없이 뉴패이스가 나와서 돈이나 권력이나 잡아야 한다는거죠 
물갈이가 되지 않는다면 그 나라는 희망이 없는 나라죠 
그냥 가장 기본적인 것을 이야기 해 보았습니다. 하지만 전 여자가 아니니 이건 제 생각이고 
여자들에게 물어 봐야죠 왜 결혼 안하는지 왜 자식 안 놓는지 그냥 재미로 읽으셔도 되구요 
저의 생각이 맞다고 생각이 되어 지면 한번 검토해 보는것도 나쁠거 같지는 않아요
이제 군인들이 각 동사무에서 각 처자들에게 설물조사해서 직접 관리를 하며 실질적으로 
바뀌어 간다면 좋은 나라가 될거 같아서요 여자에게 하는것이 뭐하다면 군인을 동사무소 업무를
시키고 여자들이 여자를 상대하는 것도 나쁠거 같지는 않습니다.</t>
  </si>
  <si>
    <t>1. 안녕하십니까? 보건복지부 인구정책총괄과입니다. 귀하께서 국민신문고를 통해 신청하신 국민제안에 대한 검토 결과를 다음과 같이 알려드립니다.
2. 귀하께서는 국내 저출산 현상에 대한 해결방안으로 저출산원인에 대한 실태조사 실시를 건의하신 것으로 이해됩니다. 
3. 한국보건사회연구원에서는 국가승인통계로서 1964년부터 매3년마다 전국 출산력 및 가족보건복지실태조사를 실시하여 기혼여성을 대상으로 결혼 및 출산형태와 가치관을 조사하고, 미혼 남녀(20~44세)를 대상으로 이성교제 및 결혼, 임신 및 출산, 자녀와 가족, 양육데 대한 가치관 등을 조사하여 발표하고 있습니다.
  - 조사연구의 자세한 결과는 한국보건사회연구원 누리집(홈페이지)를 참고하시기 바랍니다.
   * www.kihasa.re.kr &gt; 발간자료 &gt; 연구보고서
4. 이에 귀하의 제안은 기시행중인 사항으로 불채택함을 알려드립니다.</t>
  </si>
  <si>
    <t>출산 장려 정책 제안</t>
  </si>
  <si>
    <t>출산 장려 정책 실패로 국가가 존재하느냐~ 망하느냐의 풍전등화의 어려움에 처해 있어 
획기적이고 파격적인 정책 시행이 시급한 실정입니다.
요즈음 세대 젊은이 들은 결혼을 하지 않고 자신만 편안하게 살기를 바라고 있어 결혼하지 않는 사람들이 급격하게 늘어나고
결혼을 한다해도 아이를 낳지 않으려는 풍조 만연으로 머지않아 우리나라가 사라질 위기에 처해 있다고 합니다. 이민자를 많이 받아들인다 해도 선진국의 사례를 보면 사회적 비용이 많이 발생할 뿐만 아니라 다문화 가정 아이들의 범죄율 증가로 사회적 문제가 많은 것이 사실입니다.
따라서 우리 사회에 만연되어 있는 결혼에 대한 인식개선이 될 수 있도록 극약처방을 하지않으면 안될 것이라고 생각합니다.
도대체 이 사회는 누가 책임을 져야할까요?
무임승차자를 걸러내고, 건강한 가족 구성원들이 행복한 삶을 영위할 수 있는 토대를 마련하는것이 급선무입니다.
우리가 저출산 문제로 이 지경에 이를 때까지 방치한 정부 고위 당국자(경제사회부, 보건복지부 등)와 정치인, 교수, 인구관련 통계학자들은 도대체 무엇을 했기에...여기까지 왔는지 한심할 따름입니다.
우리가 산아제한 운동을 적극적으로 펼칠때 선진국들의 인구추이를 충분히 벤치마킹 하여 그 수위를 조절할 수 있었을 텐데
앞,뒤 가리지 않고 너무 지나치게 열심히 산아제한 운동을 하다 보니 이제 백약이 무효인 작금의 사태에 이르게 되었습니다.
선진국은 이미 1980년 대에 출산장려 정책과 아울러 해외 이민자를 적극적으로 받아들였는데. 말입니다....</t>
  </si>
  <si>
    <t>수당 지급 및 아파트 당첨권 부여
1. 세아이 이상 가족에게 서울 강남 아파트 등 전국 인기 아파트의 경우 당첨권을 부여하되 경제적 사정이 어려운 경우 
   프리미엄만을 받고 매도 해도 양도소득세 면제.(세금 투입을 하지않고 정책적 효과 극대화)
2. 두아이 이상의 경우 출산 장려수당 만 18세 까지 1인당 60만원씩 지급
3. 한아이일 경우 출산장려수당 30만원 지급
재원 마련(소득세 등)
1. 세아이 가족 각종세금 면제
2. 두아이 가족, 결혼은 했으나 의학적 불임의 경우  세금 10%
3. 한아이 가족 세금 20%, 
4. 결혼 하지 않는 미혼자 세금 30%
집을 마련하지 못해, 경제적 형편이 어려워 결혼을 못한다는 인식이 불식될 수 있도록 결혼하여 출산만 하면
먹고살만 하다는 인식을 주어야 할것입니다.
홍보 : 
출산장려 정책 알림. 3아이 이상 가족세대를 애국자로 대할 수 있도록 각종 언론 매체를 통해 대대적인 홍보활동 전개,(산아제한 하던 시절 처럼 적극적으로 홍보) 독립유공자, 5.18 유공자, 국가유공자 차원으로 대우한다는 의식을 느낄 수 있도록...
해야합니다.</t>
  </si>
  <si>
    <t>아이를 낳지 않으면 세금이라도 내서 아이를 낳는 사람을 지원하는 사회적 공감대 형성,
무임승차자 배제, 이 사회구성원으로서의 국민 의무 이행에 대한 인식 개선
출산율 증가, 아이를 낳으면 저출산 고령화 사회의 문제점 해소에 크게 기여할 것임.
다문화 사회의 문제점 해소. 요즈음 코로나로 인하여 해외근로자가 없어 회사 운영 어려움. 농촌 일손 절대 부족
무엇보다도 경제가 활력을 되찾을 것입니다.</t>
  </si>
  <si>
    <t>1. 안녕하십니까? 보건복지부 인구정책총괄과입니다. 귀하께서 국민신문고를 통해 신청하신 제안에 대한 검토 결과를 다음과 같이 알려드립니다.
2. 귀하께서는 국내 저출산 현상에 대한 해결방안으로 아동수당 지급방안에 대해 의견 주신 것으로 이해됩니다.
3. 우리나라의 저출산 현상은 청년 일자리 문제, 높은 주거비, 성장중심 주의로 인한 과도한 사회경쟁, 일 중심적인 사회분위기 및 국민 인식변화 등 사회·경제·구조적 요인과 가치관 변화에 따른 총체적 결과로 분석됩니다. 정부에서도 현 저출산의 원인으로 임금격차, 고용안정성 차이 등의 노동시장 격차 및 불안정 고용 증가, 높은 주택가격, 일가정 양립 곤란, 돌봄공백과 같은 사회적 원인을 인지하고, 그간의 출산장려 위주의 정책을 벗어나 모든 세대의 삶의 질을 높이는 정책으로 패러다임을 전환한 제4차 저출산 고령사회 기본계획(2021-2025)를 발표한 바 있습니다.
4. 제4차 저출산·고령사회 기본계획(2021-2025)에서는 부모의 영아기 아동을 돌볼 권리를 보장해주고, '아이가 가족과 함께 하는 시간'을 보장할 수 있는 사회로 나아가기 위해
   1) 첫만남꾸러미 (임신·출산의료비 바우처 60만원('22년부터 100만원으로 증액), 아동출생시 아동당 200만원 바우처('22년부터 지원))
   2) 영아수당 ('22년 출생아부터 생후 24개월까지 월 30만원 지원)
   3) 아동수당 ('19.9월부터 만7세미만 아동에 월10만원 지원) 등 자녀수에 관계없는 수당지원을 통해 자녀양육부담을 완화하는 정책들을 추진?마련하기로 했습니다.
     * 출생순번에 관계없이 태어나는 아동1명당 지원
5. 또한 앞서 말씀드린대로 저출산의 다양한 원인을 인지하고, 기존의 출산을 직접 장려하는 홍보방향에서 '개인의 삶의 질 개선'을 통해 젊은 세대가 자연스럽게 결혼과 출산을 선택할 수 있도록 결혼문화 개선, 전 사회구성원이 함께하는 양육문화 조성과 같은 홍보정책을 추진하고 있습니다.
6. 귀하꼐서 제안하신 제4차 저출산고령사회 기본계획을 통해 발표된 사항으로 불채택함을 알려드립니다. 기타 문의사항이 있으신 경우 보건복지부 인구정책총괄과(044-202-3367) 또는 보건복지콜센터(국번없이 129)로 연락주시면 안내드리겠습니다. 감사합니다.</t>
  </si>
  <si>
    <t>출산여성 건강검진 무료혜택 제공에 대한  제안입니다.</t>
  </si>
  <si>
    <t>현황
:임신중인 여성에 대하여 진료비혜택및 출산관련 용품구입등 60만원을 지원함.
문제점
: 출산한 여성에 대한 지원은 없음.</t>
  </si>
  <si>
    <t>-출산한 여성에 대하여 6개월이내에 무료건강검진 혜택을 제공
-국가 건강검진보다  검진항목을 추가하여 지원함.
(부인과질환을 추가함- 유방초음파, 자궁초음파, 갑상선초음파, 골밀도측정, 우울증검사(상담)등)</t>
  </si>
  <si>
    <t>-출산여성에 대하여 검진혜택을 제공하므로써 출산후 자신의 신체변화, 몸건강에 대한 불안을 해소함.
-출산후에도 검진을 통하여 지원을 하므로써 국가에서 출산후에도 관리해준다는 믿음이 생기며 출산여성의 만족도를 높일 수 있음.
-우울증 검사, 상담을 통하여 2차 사고를 미연에 방지할 수 있음.
-출산후 경험에 대하여  만족도를 높임으로서  차후 출산율을 높일 수 있을것임.</t>
  </si>
  <si>
    <t>1. 귀하의 제안내용은 "출산여성을 대상으로 한 무료 건강검진 제공"으로 이해됩니다.
2. 국가건강검진인 일반건강검진은 「국민건강보험법」, 「건강검진기본법」 등에 따라 전 국민을 대상으로 건강위험요인과 질병을 조기에 발견하기 위한 선별검사이며, 국민건강보험 가입자인 경우에는 「국민건강보험법 시행령」 제25조에 따라 2년마다 1회 이상, 사무직에 종사하지 않는 직장가입자에 대해서는 1년에 1회 실시하고 있습니다.
3. 아울러 일반건강검진의 검진항목과 검진주기 등은 「건강검진기본법」에 따라 질병관리청 내 '검진기준 및 질 관리반'에서 국가건강검진원칙에 따른 의과학적 타당성과 비용효과 등을 검토·평가하고, '국가건강검진위원회'가 이를 심의·의결하는 과정을 거쳐 결정됩니다.
4. 이처럼 국가건강검진은 특정 계층·직종 상관없이 전 국민을 대상으로 하고, 모든 대상자에게 동일한 기준이 적용되기 때문에 국가건강검진에서 특정 계층·직종을 위해 별도의 검사항목을 도입하여 실시하는 것은 국가건강검진의 보편성·형평성에 부합하지 않을 것으로 판단됩니다.
5. 다만, 지자체(보건소)별로 지역사회 주민을 대상으로 건강생활실천, 만성질환 예방 등을 목적으로 지역특성 및 주민 수요에 따라 건강증진사업을 기획·추진하고 있으며, 그 일환으로 임산부 건강증진을 위한 다양한 지원사업을 추진하고 있음을 안내드리오니 이 점 참고하시기 바랍니다. 또한, 보건소 방문, 난임·우울증상담센터(방문 또는 온라인), ‘아이사랑’(임신출산육아 종합포털)을 통해 산전후우울증 검사 및 상담서비스를 제공하고 있음을 추가로 안내드립니다. 
6. 추가적인 문의사항이 있으시면 보건복지부 건강증진과(김현우, 044-202-2829) 또는 출산정책과(허소연, 044-202-3396)로 전화주시기 바랍니다.  끝.</t>
  </si>
  <si>
    <t>출산지원금 평등하게 분산지원 해주세요!!</t>
  </si>
  <si>
    <t>현재 출산 지원금을 시도별, 낙후 지역에 대해서 차등 지원을 해주고 있는 상황입니다.
출산율이 저조한 이 시대에 출산 지원금을 지역에 따라 차등 지원함이 문제라고 생각합니다.
저는 10년이상 화성시에 거주하고 있는 아이 한명의 엄마 입니다.
화성시가 출산율이 높고 영유아 아이들이 많이 있는 지역이라고 생각합니다.
하나라도 더 낳고 싶은 가정들이 있습니다.
하지만 시에서는 출산지원금이 나오지않으며 (장려금등은 있지만 그또한 지역 차등이 있습니다.)
국가에서 나오는것이 전부입니다.
더 낳을 곳을 더 지원해주는것이 맞다고 생각이 들지만, 이것을 추려내기에는 어려운점이 많습니다.
출산율이 낮은 이때에 지원을 평등하게 분배. 또는 출산하는 각 가정을 대상으로 지원금 확대를 원합니다.</t>
  </si>
  <si>
    <t>각 시도별 출산율을 따져 차등지원해주는것이 아니라, 출산 가정 대상으로 지원금 확대  또는 평등하게 각 시도별 지원금 분배를 해주세요.
점차 출산에 대한 의식이 바뀌어가는 이 시대에 대한민국의 전체 출산율을 높여야한다고 생각합니다.
낳고 싶은 가정은 현실적인 상황이 어려운 상황 입니다.
지원금을 출산가정 대상으로 확대 또는 시도별 평등한 지원 바랍니다.</t>
  </si>
  <si>
    <t>집값, 물가가 오르는 상황이 출산에 지장을 줍니다. 현실에 출산을 고민하게됩니다.
출산지원금을 시도별이 아닌 출산가정 대상으로 분배해 지원금을 확대해주신다면 대한민국 전체 출산율이 높아지리라 생각합니다.</t>
  </si>
  <si>
    <t>1. 안녕하십니까? 귀하께서 국민신문고를 통해 신청하신 민원(신청번호 1AB-2111-0001324)에 대하여 회신 드립니다.
2. 귀하의 제안 내용은 "지역별 차등지급되는 출산지원금의 평등지원“에 관한 것으로 이해되며, 아래와 같이 답변을 드립니다. 
  ○ 정부는 '함께 일하고 함께 돌보는 사회 구축'을 위해 「제4차 저출산고령사회 기본계획」을 수립·발표('20.12월)하였으며, 향후 5년간 추진할 중장기 계획의 핵심사업으로 출생·육아에 따른 경제적 부담 경감을 위해 "영아수당과 아동 출생시 200만원 바우처 지원(첫만남 이용권)" 사업을 추진하고 있습니다. 이를 통해 출생지역과 상관없이 보편적인 지원을 통해 출산·육아에 따른 경제적 부담을 경감할 수 있을 것으로 판단됩니다.
  ○ 다만, 귀하가 제안하신 내용대로 지자체에서 지원하는 출산지원금을 동일 금액으로 지급하는 것은 각 지자체가 정책적 필요성, 예산 등을 종합적으로 고려하여 조례를 통해 시행되는 사업이므로, 답변드리기 어려운 사안임을 알려드립니다. 
3. 답변 내용에 대한 추가 문의사항이 있으신 경우 보건복지부 보건복지콜센터(국번없이 129) 또는 출산정책과(044-202-3398)로 연락주시면 성실히 답변 드리겠습니다. 감사합니다. 끝.</t>
  </si>
  <si>
    <t>저출산 대책 및 전국민 어린이집 운영안</t>
  </si>
  <si>
    <t>어린이집 예산 계산.xlsx</t>
  </si>
  <si>
    <t>저출산 해결 및 기혼여성 직업 연속성 개선등을 위하여 제안드립니다.
저는 직장남성이고 제 아내는 결혼후 출산하면서 직장을 그만둔 경우입니다.
결국 맞벌이를 해야하고 아기 양육 문제가 한국 저출산의 가장 큰 걸림돌입니다.
이를 해결하는 제안사항은 아래와 같습니다.</t>
  </si>
  <si>
    <t>저는 성남시 모란역 근방에 회사를 다니고 있습니다.
예를 들어서  모란역 근방의 회사 10개정도를 그룹으로 하여 각회사에서 공동으로 어린이집이나 탁아소를 10개 회사의 근방에 만듭니다.
그리고 10개 회사에서 약간의 탁아소 운영비를 지원하고 일정부분은 정부가 지원합니다.
회사마다 년 5천만원/년(정부지원금 1억원/년) = 10개회사면 6억원, 어린이집 인건비 5인으로 치면, 6억원중 인건비 2.5억, 장소 임대로(+식비등) 3.5억정도로 운영하면
10개회사의 아이 최소 10명은 여기서 돌보고 부모가 아침에 데려다 주고 퇴근하면서 데리고 가는 식으로 진행하면 되지 않을까요?
저출산 대책 비용이 몇조정도 지금까지 사용되니 그 자금의 일정부분을 이쪽으로 돌려서 투자하고 각 법인회사도 갹출을 하면
유아/어린이 보육을 나라와 회사가 공동으로 즉 사회가 공동으로 부양하는 방식으로 하면 되지 않을까 생각합니다.
회사마나 1년에 5천만원 정도 부담하는 것은 어려울거 같지 않고요.
정책에 참고 바랍니다.
아래는 실제 국내 중소기업수로 계산한 결과입니다.
	항목	                   숫자	단위	계산식
A	한국 총 기업수	         6,643,756 	                 수	
B	기업수/10	                 664375.6	                 수	  A/10
C	기업당 모금액	         50,000,000 	        원/년	
D	총 모금액	                  332,187,800,000,000 	원/년	  A*C
E	어린이집	                 664375.6	                수	  B
F	어린이집당 할당금액	 500,000,000 	     원/년	  D/E
G	어린이집당 10명 어린이
         할당시 총 어린이수	 6,643,756 	                명	  E*10
H	어린이집당 정부 지원금	 100,000,000 	        원/년	
I	총 지원금	                  66,437,560,000,000 	원/년	   E*H
J	어린이집당 년간 
         총 지원금	                  600,000,000 	        원/년  	F+H
K	총지원금(민간+정부)	 398,625,360,000,000 	원/년  	D+I
L	돌봄선생님 총수	          3,321,878 	                사람  	5 * E</t>
  </si>
  <si>
    <t>보면 총 정부지원금은 66조원(J), 민간기업 모금액 332조(D) 모두 합하여 398조(K)정도의 예산이 모이며 이를 어린이집수(E) 664,375로 나누면, 
어린이집당 모금액은 년간 6억원이 모입니다.
정부에서 1년간 저출산 대책으로 66조원을 사용할수 있다면 어린이집당 운영비 6억원으로 10명의 어린이를 돌볼수 있습니다. 어린이집수가 664,375이고
어린이집당 10명의 어린이를 돌본다면 6,643,750 즉 6백만명을 돌볼수가 있습니다. 돌볼수 있는 어린이의 수가 많다면 어린이집당 10명에서 더 줄일수도 있습니다.
정리하면 어린이집 수 664,375
어린이집당 10명 돌볼수 있으므로 총 돌볼수 있는 어린이수 6,643,750
어린이집당 1년 예산
어린이집당 돌봄선생님수 5인
돌봄선생님 총수 : 3,321,878명
국내 총 여성인구의 1/10 정도가 투입됨
인당 연봉 5천만원
이렇게 되면 국내 총 여성의 1/10의 연수입이 5천만원씩 증가여 총 166조원 증가하는 효과가 있음 이는 GDP에도 기여할것임
검토 바랍니다.</t>
  </si>
  <si>
    <t>1. 안녕하세요. 보육정책에 관심을 가져 주셔서 감사드리며 질의하신 제안에 대하여 아래와 같이 안내 드립니다.
2. 귀하의 민원내용은‘직장어린이집 의무사업장의 개편안’에 대한 내용으로 이해됩니다.
3. 귀하의 제안사항을 검토한 결과 다음과 같습니다. 
  ○ 직장어린이집 설치의무 사업장은 상시여성근로자 300명 이상 또는 상시근로자 500명 이상을 고용하고 있는 사업장입니다.
  ○ '사업장’에 대한 적용기준은 단위사업장, 즉 사업이 행하여지고 있는 인적, 물적 시설이 존재하는 장소적 범위를 중심으로 보는 개념으로 동일 장소에 소재하여야 함이 원칙이고 본사-지사가 아닌 하나의 계선 조직에 포함되어 있고 인근에 위치할 경우 하나의 단위사업장으로 판단합니다. 또한 '상시근로자'는 임시직, 정규직, 일용직 등을 총망라하여 평균적으로 사용하는 근로자를 의미하나 파견자는 제외입니다. 
  ○ 직장어린이집 설치 의무의 취지는 일과 가정의 양립입니다. 사업장의 사업주가 직장어린이집을 단독으로 설치 할 수 없을 때에는 사업주 공동으로 설치 운영이 가능합니다. 공동설치의 경우 비용부담 및 보육아동 배정은 사업장 간의 협의로 결정할 사항이나 개별 사업장이 어느 정도 이상의 비용부담 및 보육아동 배정을 해야 합니다.  
  ○ 공동직장어린이집은 운영중에 있으며 제안한 내용대로 일률적인 강제 공동직장어린이집 구성은 어려울 것으로 판단됩니다. 
붙임 국민제안신청서 1부.  끝.</t>
  </si>
  <si>
    <t>저출산 대응 및 가족 건강지원을 위한 탯줄혈액 보관 지원(제대혈)</t>
  </si>
  <si>
    <t>분만 후 아기의 탯줄에서 나온 혈액인 제대혈은 조혈모세포, 간엽줄기세포가 풍부하게 들어 있습니다. 이는 출생아 뿐만 아니라, 그 가정의 직계 가족에게도 활용할 수 있는 장점이 있고, 의료적인 가치가 매우 높습니다.
코로나19로 인해 혈액 수급이 어려운 실태에 적합도 높은 혈액을 치료용으로 비상시 사용할 수도 있고, 아직 홍보부족 등으로 활성화 되고 있지 않은 제대혈 보관 및 활용도 촉진할 수 있습니다. 
현재는 저출산 문제가 심각하고, 제도적인 지원과 인적, 물적 지원도 시급한 시기입니다. 또한 고령화 사회에 직면하면서 노인인구는 많아지고 각종 노인성 질환으로 인해 많은 치료비 등의 경제적인 부담도 커지고 있는 실정입니다. 
코로나19 상황으로 인해 더욱 더 긴박해지는 상황에서 저출산 문제와 노인을 위한 건강복지와 안전에 대한 개선이 꼭 필요한 상황이기도 합니다.</t>
  </si>
  <si>
    <t>광역, 지역단위로 산부인과, 소아청소년과, 제대혈 은행 등과 긴밀히 상호 협조, 네트워크를 구축하여 지역사회 내의 출산 가정(신생아)에 제대혈을 보관, 지원할 수 있도록 하고
이에 대한 상세 안내 서비스, 제대혈 신청 시 축하서비스, 제대혈 보관비 지원 등을 추진</t>
  </si>
  <si>
    <t>출산 가정에 탯줄혈액 보관 지원(제대혈)을 안내하고 실시하게 된다면, 
산모 및 신생아 뿐만이 아니라, 고령화 사회의 노인인구를 대비하여 제대혈을 이용한 맞춤형 건강관리 및 치료, 비상시 신속하고 안전한 혈액수급 문제 개선 등의 효과를 가져올 수 있고, 지역사회의 발전 및 신뢰성 강화에도 충분한 효과가 있다고 확신합니다.</t>
  </si>
  <si>
    <t>1. 안녕하십니까. 귀하께서 국민제안을 통해 제안하신 내용(신청번호 1AB-2111-0000463)에 대한 검토 결과를 다음과 같이 알려드립니다.  
2. 귀하의 제안내용은 "제대혈 보관에 대한 국가의 지원"에 관한 것으로 이해하였습니다.
3. 귀하의 제안에 대한 검토 의견은 다음과 같습니다.  
- 제대혈 관리 및 연구에 관한 법(이하 제대혈법) 제17조에 따라 국가는 기증제대혈은행을 지정하여 운영에 관련되는 사업에 대해서 예산의 범위에서 그 경비를 전부 또는 일부 보조할 수 있도록 되어 있습니다. 이에 따라 현재 우리부는 4개의 국가 지정 기증제대혈은행에 국고를 보조하고 있습니다. 
- 현재 각 국가 지정 기증제대혈은행에서는 직접 협력 산부인과 간의 인프라를 구축하여 해마다 제대혈 수집을 위해 힘쓰고 있습니다. 귀하께서 제안해주신 제대혈 보관에 대한 적극적인 홍보 및 기증자를 위한 예우 등은 필요성에 공감하고 있으며 이에 대한 정책에 반영하기 위한 기반마련을 위해 정책연구 중에 있습니다.
- 제안에 대한 정책 실현은 국가적 예산이 뒷받침되어야 가능한 사안이기에 지속적으로 예산당국과 소통하도록 노력하겠습니다.
4. 귀하의 민원내용에 대하여 만족스러운 답변이 되었기를 바라며, 답변 내용에 대한 추가 설명이 필요한 경우 보건복지부 혈액장기정책과 담당자(☏044-202-2636) 또는 (☏국번없이 129)로 연락주시면 안내드리도록 하겠습니다. 감사합니다.  끝.</t>
  </si>
  <si>
    <t>전국 육아종합지원센터 통합 이용</t>
  </si>
  <si>
    <t>현재 시구군 육아종합지원센터는 해당 관내 주민만 이용 가능함 
육아종합지원센터에서는 장난감 대여 또는 영유아 도서 대여, 놀이체험실 이용 등을 할 수 있는데 해당 지역으로 한정하여 이용 가능함
지역 센터별로 보유하고 있는 장난감 또는 도서가 조금씩 다른데 해당 관내 센터에 없다면 이용 불가능한 상황임. 아이들의 발달 과정 및 흥미에 따라 요구되는 장난감이 모두 다른데 각 센터마다 모두 갖춰놓기 어려움
또한 놀이체험실도 각 시도별로 구성 교구 및 시설이 모두 다른데 해당 지역만 이용할 수 있음. 예를 들어 트램펄린이 있고 B지역엔 볼풀장이 있고 C지역엔 자동차 트랙이 있는 등 각 센터 별로 특색있는 시설을 가지고 있지만 해당지역의 센터만 이용할 수 있어 아쉬움. 아이들은 똑같은 놀이시설에 쉽게 흥미를 잃어서 결국 이용 횟수 감소 및 만족도 감소로 이어짐. 이로 인해 사설 키즈카페 등을 이용하게 됨. 지역마다 질좋은 공공 시설이 있지만 사설 기관을 이용하는 상황임.</t>
  </si>
  <si>
    <t>전국 각 시도 및 시군구 육아종합지원센터 통합 이용
(공공도서관은 책이음서비스로 회원카드 하나로 전국 도서관 이용 가능한데 육아종합지원센터도 이처럼 회원카드 하나로 전국 센터를 이용할 수 있으면 좋을 것 같음)</t>
  </si>
  <si>
    <t>타지역 육아종합지원센터의 다양한 장난감 또는 도서  대여 및 놀이체험실 이용으로 육아종합지원센터 이용 횟수 및 만족도 향상 기대</t>
  </si>
  <si>
    <t>1. 안녕하십니까? 규제개선 업무에 관심을 갖고 제안해 주신 것에 감사드리며 검토한 결과를 다음과 같이 알려드립니다.
2. 귀하의 제안내용은 '지역 내 육아종합지원센터 이용대상 확대'에 관한 것으로 이해되며, 이에 대한 검토 의견은 다음과 같습니다.
 ○ 육아종합지원센터는 영유아보육법 제 7조에 따라 보건복지부장관 및 지자체장이 설치·운영하는 기관으로 회원제 운영 및 지역민 이용 등의 기준은 센터의 운영규정별로 상이합니다.
 ○ 전국적으로 센터의 이용자 확대 시 센터 내 인력 부족 문제가 발생할 수 있으며, 육아종합지원센터는 지자체 예산으로 운영되기 때문에 타지역민 사용은 제한될 수 있음을 양해하여 주시기 바랍니다.
 ○ 보건복지부에서는 지속적으로 시군구 센터 설치·운영을 확대하여 센터의 이용자 불편이 줄어들도록 노력하겠습니다.
3. 다시 한번 소중한 의견을 주신 것에 감사드리며, 이 밖에 문의사항이있으실경우, 보건복지부 보육정책과(044-202-3550)및 보건복지콜센터(국번 없이 129번)로 문의하시기 바랍니다. 감사합니다.  끝.</t>
  </si>
  <si>
    <t>청년 결혼과 출산률 제고</t>
  </si>
  <si>
    <t>스크린샷 2021-12-16 오후 3.52.51.png</t>
  </si>
  <si>
    <t>심각한 출산률의 개선과 청년의 행복도 문제(자살)는 결코 따로 떨어진 문제가 아니라고 생각합니다.
근해 청년들의 결혼과 출산은 뒷전이 아니라 인생에서 배제 해버리는 경향이 크게 보입니다.
결혼과 출산을 결심하는데 공통적인 큰 문제점은 두가지 정도 같습니다.
1. 아이를 돌보기 위한 물리적인 시간
2. 실질적인 급여수준
인간의 호르몬 저하에 따라 20대의 연애와 30대의 연애는 하늘과 땅차이라고 생각 합니다.
기본적으로 성인 남성이 대학을 졸업 후 약간의 학자금을 갚으면 30살이 됩니다.
구조적으로 30대의 연애는 뜨겁고 성공적으로 결혼까지 가기가 20대보다 어렵습니다. 남성의 몸이 노화로 짜게 식어서 그럽니다.
물질적인 아쉬움이 끼어들면 그런 경향이 더 심해지구요. 대학을 꼭 가야하는 사회적인 분위기와 높은 대학학비가 첫번째 심각한 문제지만 이건 해결이 어려워 보여서 위의 문제에서 제외 했습니다.
그럼에도 많은 젊은 친구들이 연애를 하고 행복을 찾아 갑니다. 응원 해주고 싶은 젊은 친구들의 두번째 고민이 결혼 후 아이를 키울때 들어가는 시간(맞벌이 문제)과 비용(막연한 두려움)을 고민합니다.
여성들은 시간을 두려워하고(경력단절) 남성들은 시간과 비용(아내의 희생, 미래의 경제적인 부채)을 두려워 합니다.
사랑하는 아이를 더 사랑해주지 못하는 걸 두려워 하고 사랑하는 아이에게 더 해주지 못할 걸 두려워 합니다.
본인의 행복도가 만족스럽지 않아서 되물림될 행복의 그릇이 작을 것을 두려워 합니다.
그 두려움의 근원을 실질적인 급여수준에서 느낍니다. 행복을 돈으로 살 수는 없지만 행복을 느낄 수 있는 조건을 살수 있으니까요. 그 조건이 좀 비쌉니다.
가장 기본적인 의,식,주(++++) 에서 크게 문제를 느끼지요.
문제점은 다양하겠지만 이 두가지는 국민들이 살아가는데 바로 옆에 친구처럼 따라다니는 가장 핵심적인 문제라고 보여 집니다.</t>
  </si>
  <si>
    <t>누구나 생각하는 행복하는 사람은 젊을때 예쁜 아내를 만나서 서로 사랑하고 아이를 낳고 돈 걱정없이 여행도 많이 가고 아이를 키워내면 된다고 생각합니다.
젊을때 연애를 해야 뜨겁고 몇배 행복하게 연애를 하고 돈 걱정없이 아이를 키우면서 여행을 가려면 다음 조건은 충족되야 합니다.
1. 20대에 시간이 많아야 합니다.
2. 30대에 돈이 충분해야 합니다.
1. 20대에 시간이 많아야 합니다.
** 대한책
 - 20대에 시간이 많으려면 쓸데없이 대학교에서 시간을 버리면 안됩니다.
대학의 4년은 실질적으로 쓸데없이 깁니다. 대학의 많은 친구들은 실질 수업을 3일에 몰아두고 나머지는 다른일을 합니다.
대학의 돈벌이 때문이 아니라면 1년제, 2년제 수준으로 집중 교육을 하는 기관이 필요해 보입니다.
4년제가 필요한 만큼의 지식수준이 높은 과들을 세밀하고 전문적으로 분류육성해야 합니다. 모두 퉁처서 4년을 배울 필요가 없습니다.
또 4년제와 동일한 사회적인 잇점이 있어야 합니다.(대학교 가산점을 4년제와 동일하게)
그래야 개인들이 투자대비 수익 생각하면서 대학을 가지 않고 꼭 필요한 공부를 위해 선택합니다.
현재 사회적으로 2년제 전문대, 고졸이면 연봉을 낮게 책정합니다. 2년제 전문대, 고졸이면 취업 불이익이 있습니다.
 - 20대에 쓸데없이 군대에서 2년을 버리면 안됩니다.
 20대 남자의 2년은 정말이지 인생 황급기 20% 이상을 잃어버리는 것입니다. 20대의 빛나는 시기를 생각하면 40% 이상을 잃어 버리는 것과 같습니다.
 하지만 강대국사이의 대한민국 현실에서 군대는 없앨 수 없습니다. 그렇다면 군대의 2년 시간을 남자에게 큰 기회로 만들어 주면 됩니다.
 군대를 다녀온 국민들은 모두가 압니다. 2년을 허비하지 않으려고 운동과 공부에 목을 맨다는 것을요. 하지만 효과를 보지 못합니다. 강제력이 없기 때문입니다.
 쓸데없이 장병처우 개선 한다고 엉뚱한 예산 쓰지 마시고 젊은 군인들이 군대가는 시간에 대학 학점 이수가 가능하도록 환경을 구성하세요.
 또 다른거 다 치우고 영어만이라도 완벽하게 마스터 할수 있게 2년 커리 큘럼을 선택하게 지원 하세요.(꼭 영어가 아니어도 되겠지요.)
 군대 2년동안 열심히 하면 제대후 대학을 3달만에 졸업이 가능하도록 공부할 수 있도록 하던가 국가지원(군지원) 고급 영어클래스를 운영해서 제대시 토익 800점은 찍도록
 지원 하세요. 실무회화도 좋습니다.
 대한민국의 남성들이 22살에는 사회생활이 가능하게 하세요. 27살은 너무 늦습니다. 인생이 조금 늦은 친구들은 시작을 30살에 합니다. 정말 처참합니다.
 어떻게 20살에 시작하는 인도 IT 인재들과 경쟁합니까?</t>
  </si>
  <si>
    <t>2. 30대에 돈이 충분해야 합니다.
** 대안책
많은 사람들이 급여가 적다고 이야기하는데 우리는 많은 것을 간과하고 있습니다.
혼자사는 20대에 급여 200은 적지 않습니다. 혼자사는 30대에게 300은 적지 않습니다. 혼자사는 50대에게 200은 적지 않습니다. 물론 많지도 않습니다.
결혼을 준비하는 20대에게 200은 적습니다. 결혼을 준비하는 30대에게 300은 적습니다. 아이를 두명기르는 50대에게 500은 적습니다.
결혼을 준비하는 20대 두명의 합산 400은 적지 않습니다. 결혼을 준비하는 30대 두명의 600은 적지 않습니다. 아이를 두명기르는 50대 맞벌이 800은 적지 않습니다. 물론 많지도 않습니다.
대부분 위보다는 많이 법니다.
문제는 벌이가 문제가 아니라 벌수 있는 안정적인 환경이 문제입니다.
꾸준히 돈을 벌 수 없는 문제는 생각보다 단순합니다.
1. 육아를 합니다.
2. 실직합니다.
3. 아픕니다.
우리는 육아에 집중해 봅시다. 육아가 힘든 것은 당연합니다. 옆에 붙어 있어야 하니까요. 우리는 이걸 해결하려고 다음과 같이 정책을 정하고 실행합니다.
1. 누가 봐주는 기관(어린이집)을 지원한다.
2. 누가 봐줄 수 있는 돈을 준다.
3. 내가 볼 수 있게 내가 다니는 회사에 떠넘긴다.
4. 내가 볼 수 있게 집에 있으라고 하고 돈을 준다.
과거 우리는 아버지가 일을 했기 때문에 두명의 맞벌이 금액을 혼자서 벌어왔습니다. 현대에는 한명의 급여를 두명이 받아갑니다. 혼자사는 사람의 권익을 위해서도 현재가 맞다고 생각합니다.
그렇다면 조금더 민주주의 적인 현대 사회에서 아이를 엄마, 아빠가 보는 것은 맞지 않습니다.
전문 국가 보육기관이 운영해야 합니다. 국가가 100% 전담으로 육아를 해야 합니다. 부자, 빈자가 중요한 것이 아닙니다. 그냥 무상 급식과 동일합니다. 아이는 국가 기관이 맡아야 합니다.
부모의 모성애와 아이의 행복을 무시하는 처사가 아닙니다. 부모가 원할때는 언제든지 아이를 데려가고 맡기면 됩니다. 지금의 어린이집 시스템과 동일하지 않습니다.
지금의 육아는 주-부모, 부-사립어린이집 입니다.
주-전문국가보육기관, 부-부모 가 되어야 합니다.
아이를 한번도 보러오지 않아도 상관 없어야 합니다. 외로울 수 있는 아이가 한명이면 슬프지만 100명이면 슬프지 않습니다. 아이들이 집단으로 함께 즐겁게 크는 대형 기관이 필요합니다.
작으면 안됩니다. 몇백명 수준으로 대규모여야 합니다. 아이들이 즐거워야 합니다. 부모가 없어도 외로우면 안됩니다.
저는 부모님이 없이 컸습니다. 외롭지 않습니다. 슬프지 않습니다. 가끔 외롭습니다.
젊은 이들의 행복한 미래를 응원합니다.</t>
  </si>
  <si>
    <t>국민제안(1AB-2112-0004660)에 대해 다음과 같이 회신하고자 합니다.
- 다  음 -
1. 안녕하십니까? 보육정책에 관심 가지고 제안해 주신 것에 감사드리며 검토한 결과를 다음과 같이 알려드립니다.
2. 귀하의 제안내용은 '공공보육 지원을 통한 출생률 제고'에 관한 것으로 이해되며, 이에 대한 검토 의견은 다음과 같습니다.
 ○ 보건복지부에서는 2027년까지 공공보육 이용률 60% 달성을 목표로 국공립어린이집 설치 국비 보조를 매년 550개소 규모로 추진 중입니다. 아울러 영유아보육법 시행령 제19조2항에 의하여 500세대 이상의 공동주택에는 국공립어린이집 설치를 의무화하고 있습니다.
 ○ 국공립어린이집 확충은 신축, 매입, 리모델링 등 다양한 사업방식으로 추진 중이며, 장기임차를 통해 민간·가정어린이집을 국공립어린이집으로 전환하는 방식 또한 이루어지고 있습니다.
 ○ 또한, 영유아보육법 제14조에 따라 상시여성근로자 300명 이상 또는 상시근로자 500명 이상을 고용하고 있는 사업장에는 직장어린이집을 의무적으로 설치하도록 규정하고 있으며, 고용보험법 시행령 제24조 등에 의해 설치 및 운영비 지원이 이루어지고 있습니다.
 ○ 보건복지부에서는 지속적으로 공공보육을 확충하여 영유아 돌봄의 사회적 책임 강화를 위해 노력하겠습니다.
 2. 다시 한번 소중한 의견을 주신 것에 감사드리며, 이 밖에 문의사항이 있으실 경우, 보건복지부 보육정책과(044-202-3550) 및 보건복지콜센터(국번 없이 129번)로 문의하시기 바랍니다. 감사합니다.  끝.</t>
  </si>
  <si>
    <t>인구는 곧 국력이고 위기의 인구감소에 따른 인구증가를 위한 긴급한 출산정책을 제안합니다.</t>
  </si>
  <si>
    <t>인구는 곧 국력입니다. 그리고 그것은 이 대한민국의 미래이기도 합니다. 
그러나, 코로나, 매체 등의 영향으로 2070년에는 대한민국의 인구가 2천만명대로 급감한다는 통계는 참으로 참혹하지 않을 수 없습니다.
그리고, 예산을 집행함에 있어서 국가 인구 인프라 확보에 돈을 써야지 표 매입을 위한 포플리즘은 큰 의미가 없다고 생각합니다.
실제로 러시아는 20년전에 오늘날의 대한민국과 같이 결혼에 대한 기피, 자녀에 대한 기피 등으로 인구가 감소하였습니다. 
그러나 
강력한 출산증가정책의 시행으로 지속적인 인구증가의 결과가 발생하고 있다고 합니다. 즉, 우리도 가능하다는 것 입니다.
저의 제안은 아래와 같습니다.</t>
  </si>
  <si>
    <t>첫째, 언론 및 대중의 매체에 혼자 사는 모습을 미화하는 프로그램과 내역은 사라져야 합니다. 예를 들면 "나혼자 산다 등"과 같은 프로그램은 없어져야 하며 "슈슈케 등" 자녀양육과 가족의 행복을 그리는 프로그램을 권장해야 합니다.
둘째, 실제 러시아는 첫째를 낳으면 5천만원, 둘째를 나으면 7천만원, 셋째를 나으면 집을 준다고 합니다. 이 역시 우리 대한민국도 시행해야 한다고 생각합니다. 그렇다면 예산이 문제겠지만 현재 퍼플리즘으로 쏟아분 돈이 50조원이 넘습니다. 그러나, 모두 근본적인 대책이 아닌 정치적 사용 또는 잠시의 손난로였을 뿐입니다. 
내년도의 세수는 약 338조이며 국가예산은 607.7조로 알고 있습니다. 전년대비 32조의 증액이죠.
저의 제안은 아래와 같습니다.
어느 가정이든 정책이 발효된 시점부터 신규가정의 경우 첫째를 낳으면 5천만원, 둘째를 낳으면 7천만원, 셋째를 낳으면 집(국가에서 마련한 집이며 향 후 자택 구매의 밑천이 될 집)을 주고 자녀가 셋인 경우엔 매월 국가양육비 3백만원(매년 물가상승률 적용)을 지급하는 것입니다. 또한 기존 가족의 경우엔 자녀하나만 있든 둘이 있든 자녀의 수에 따라 비용을 지급하면 됩니다.
그렇게 했을 경우에 매년 그에 따른 예산은 약 104조 가량이 소요됩니다.
계산식은 아래와 같습니다.
[첫째(2천만원)+둘째(3천만원)+집(1.0억)+(3백만원X12개월)]X60만=104.4조 가량
제가 72년생인데 그 때만 해도 약60만명이 출생하였고 인구는 꾸준히 증가 하여 왔습니다.</t>
  </si>
  <si>
    <t>상기의 계산은 다소 변동이 있을 수 있으며 전문가들의 계산이 있고 지자체도 함께한다면 가능한 정책이라고 생각합니다.
인구를 늘립시다. 그것이 곧 국력이고 이 대한민국에서 잠시 살다가 후손들에게 우리가 줄 수 있는 자랑스러움이라고 생각합니다.
인구가 많아야 훌륭한 인재도 나오는 것입니다. 이 대한민국이 인력 외에 무슨 자산이 있습니까? 석유 한 방울 안 나오는 나라가 이제 선진국의 대열에 있습니다. 그 국력을 꾸준히 키워나가야 대한민국이 전세계의 패권을 쥘 수가 있다고 봅니다.
다시 한번 더 긴급한 출산증가정책의 마련을 제안하며 본 제안은 현 정권이 아닌 정권교체가 된 가운데 이뤄지길 바랍니다.</t>
  </si>
  <si>
    <t>1. 안녕하십니까? 보건복지부 인구정책총괄과입니다. 귀하께서 국민신문고를 통해 신청하신 제안에 대한 검토 결과를 다음과 같이 알려드립니다.
2. 먼저 인구정책에 관심을 가지고 의견주심에 감사드립니다. 귀하께서는 저출산 해결을 위해 1)자녀양육 프로그램 권장 및 혼자사는 모습 미화프로그램 미방영  2) 현금지원 및 주택지원 강화할 것을 제안해주신 것으로 이해됩니다.
3. 우선 정부에서도 현 저출산 상황을 심각하게 받아들여 그간에는 '출산율 제고'라는 국가 관점의 목표 중심으로 출산장려 등을 추진하였으나, 국민 개인의 선택을 존중하면서 결혼과 출산을 가로막는 사회구조 전반에 대한 근본적 개선이 필요하다는 점을 인지하고, 다소 시간이 걸리더라도 저출산 문제의 보다 근본적인 해결을 위해 우리 사회의 고비용 구조를 개선해 나가면서 '아이 키우기 좋은 환경'을 조성하는데 중점을 두고 정책방향을 전환하였습니다.
4. 이에 기존의 출산장려 위주의 정책에서 벗어나 모든 세대의 삶의 질을 높이는 정책으로 전환하여 202012월 전 생애 삶의 질 제고를 강조한 제4차 저출산·고령사회 기본계획(2021-2025)을 발표하였습니다.
 - 이에 따라, 출산을 직접적으로 장려하는 것에 대한 거부감 해소를 위해 출산을 직접적으로 장려하기 보다는 일·생활 균형, 가족문화 개선 등 결혼·출산에 장애가 되는 가족, 양육문화를 개선하자는 간접적인 메시지 전달 방식으로 교육·홍보 방향을 전환하여 추진하고 있습니다.
 - 따라서 국민 개인의 선택을 존중하되, 아이키우기 좋은 환경을 조성하는데 중점을 둔 제4차 저출산·고령사회 기본계획 수립 취지와 목적에 위배되는 바 귀하의 제안은 불채택으로 처리함을 알려드립니다.
5. 다음으로 저출산해소 방안으로서 양육부담완화를 위한 수당지원이 필요하다는 귀하의 제안에 공감하며, 제4차 저출산고령사회 기본계획에 따라 아래와 같은 양육부담완화를 위한 수당을 지원하고 있습니다.
 1) 첫만남꾸러미Ⅰ : 임신,출산 의료비 바우처 100만원 지원(‘22년부터)
 2) 첫만남꾸러미Ⅱ : 출생시 아동당 200만원 지원 (’22년 출생아부터 지원)
 3) 아동수당 : 보육시설 이용여부 관계없이 만8세 미만 아동에 월 10만원 지원
 4) 영아수당 : 만0~1세 영아대상 보육시설 미이용시 월 30만원(’25년까지 단계적 50만원으로 확대) 또는 보육시설 이용 또는 아이돌봄 서비스 이용시 바우처 월 50만원 지원
   * 현행 가정양육수당과 보육료바우처를 통합한 수당으로 ’22년 출생아부터 적용
 5) 가정양육수당: 보육시설 미이용 만2~7세 아동에 월10만원 지원(‘22년 이전 출생아에 적용)
 6) 보육료지원 : 보육시설 이용 만0~1세 영아에 바우처로 월 50만원 지원, 만2~7세 아동에 월28~30만원 지원(’22년 이전 출생아에 적용)
 ※ 상위 제도는 자녀순서에 관계없이 모든 아동 1명에게 동일 지원
 - 이 외에도 아동 진료비 본인부담률 인하, 고위험 임산부 의료비지원 대상 질환 확대 등 아이를 낳고 기르는데 필요한 의료비 부담을 완하하였 으며, 타 부처에서도 고교 무상교육실시('19), 다자녀가구 셋째아래로 대학등록금 면제(첫째,둘째감면), 출산전후 휴가급여 인상, 육아휴직 급여 확대 및 특례적용, 다자녀 가구 주거지원 강화(거주기간 30년, 우선권 부여, 대출한도 상향 등)의 직접지원을 대폭 확대하여 지원하고 있습니다. 
6. 다만, 현 저출산 현상이 다양한 원인에 영향받는 점을 고려할 때 양육부담완화 정책을 실시함에 있어 직접 수당지원 뿐 아니라 고등교육까지 무상교육실시, 의료비 및 세금 감면정책, 양질의 보육시설 관리를 위한 투자도 필요하기에 타국의 저출산 정책과 단순비교는 어려운점 양해해주시기 바랍니다.
7. 귀하의 가정에 평안과 행복이 깃드시길 바라며, 기타 문의사항이 있으신 경우 보건복지부 인구정책총괄과(044-202-3367) 또는 보건복지콜센터(국번없이 129)로 연락주시면 안내드리겠습니다. 감사합니다.</t>
  </si>
  <si>
    <t>인구 증대방안(1명 출산시 5호봉을 올려주자)</t>
  </si>
  <si>
    <t>통계청에서 2020년 우리나라 출산통계가 발표되었습니다. 2020년 272,300명의 신생아가 탄생하였습니다.
1960년대에는 년간 60만에서 70만명이 태어난것에 비하면 격세지감을 느끼게함.
여성 1명당 가임기간동안 출생아수는 2020년 0.84명으로 2019년 0.92명보다 0.08명이 감소하였습니다.
노령인구는 늘어가고 신생아는 낳지않고 
그 이유는 무엇보다 안정적이지 못한 생활에 상상을 초월하는 양육비에 그 원인이 있다할것입니다.</t>
  </si>
  <si>
    <t>아이가 태어나면 그 부모에게 아이 한명당 5호봉(공무원 기준 35,000원 * 5호봉 = 175,000원)을 올려주는 겁니다.
1년으로 계산하면 2,100,000원가량이며 30년을 계산하면 63,000,000원정도의 금액입니다.
2명을 출산한다면 10호봉을, 3명의 자녀가 있다면 15호봉을 올려주는 겁니다.
아이가 태어나서 부모가 퇴직하는 순간까지 계산한다면 일정부분 삶에 많은 도움이 되지 않을까합니다.
여기에 소요되는 금액은 싱글족이나 아이를 낳지 않은 사람들에게 일정부분 부과하는 방안을 도입하는 겁니다.
직장이 없는 자영업자나, 농업인들은 현금으로 호봉에 상응하는 돈을 입금하는 방법을 강구하면 좋겠습니다.</t>
  </si>
  <si>
    <t>아이가 태어날때 자기가 먹을 것을 가지고 태어남으로써 부모의 부담도 일정부분 감세되며
직장에서 남들보다 5호봉, 10호봉이상 더 받음으로써 삶에 여유를 찾을수 있음으로 
타에 모범이 될것입니다.
인구가 줄어든다고 말하지 말고 아이들을 낳고 기를수 있는 문화를 조성하는것이 우선일겁니다.</t>
  </si>
  <si>
    <t>1. 안녕하십니까? 보건복지부 인구정책총괄과입니다. 귀하께서 국민신문고를 통해 신청하신 국민에 대한 검토 결과를 다음과 같이 알려드립니다.
2. 먼저 인구정책에 관심을 가지고 의견주심에 감사드립니다. 귀하께서는 저출산해결을 위해 양육부담완화가 필요하며 이를 위해 1)출산한 공무원에 호봉인정 2)출산을 하지 않는 자들에 비용부과 3) 자영업자, 농업인 등에는 현금지원 등을 통한 저출산해결방안을 건의하신 것으로 이해됩니다. 
3. 저출산 원인으로 양육비 부담을 지적하신 사항에 대해서는 공감하는 바이나, 출산에 따른 호봉산정의 가산제도의 경우 타직종과의 형평성 문제, 불임 난임 등으로 출산이 어려운 가정에 대한 차별적인 제도로 읽혀질 수 있는 문제가 있어 일반 통념상 적용하기 어렵다고 판단되어 비제안으로 처리됨을 알려드립니다.
4. 또한 현 저출산 현상이 임금격차, 고용안정성 차이 등의 노동시장 격차 및 불안정 고용 증가, 높은 주택가격, 일가정 양립 곤란, 돌봄공백과 같이 다양한 사회적 원인에 영향받는 점을 고려할 때, 출산을 하지 않는 자들에 비용을 부과한다는 귀하의 제안은,
 - 그간의 출산장려 위주의 정책을 벗어나 모든 세대의 삶의 질을 높이는 정책으로 패러다임을 전환한 제4차 저출산 고령사회 기본계획(2021-2025)의 취지와 목적에 위배되는 사항으로 불채택 처리함을 알려드립니다.
5. 다만, 현 저출산 현상의 원인 중 양육비 부담을 지적한 귀하의 설명에 공감하며, 정부에서도 양육비 부담완화를 위해 아래와 같은 다양한 제도를 도입하여 진행하고 있어 이미 시행중이거나 기본구상이 유사한 사항으로 판단되어 비제안 처리함을 알려드립니다. 
 1) 첫만남꾸러미Ⅰ : 임신,출산 의료비 바우처 100만원 지원(‘22년부터)
 2) 첫만남꾸러미Ⅱ : 출생시 아동당 200만원 지원 (’22년 출생아부터 지원)
 3) 아동수당 : 보육시설 이용여부 관계없이 만7세 미만 아동에 월 10만원 지원
    * ‘22.1월부터 만8세미만으로 지원대상 확대
 4) 영아수당 : 만0~1세 영아대상 보육시설 미이용시 월 30만원(’25년까지 단계적 50만원으로 확대) 또는 보육시설 이용 또는 아이돌봄 서비스 이용시 바우처 월 50만
원 지원
   * 현행 가정양육수당과 보육료바우처를 통합한 수당으로 ’22년 출생아부터 적용
 5) 가정양육수당: 보육시설 미이용 만2~7세 아동에 월10만원 지원(‘22년 이전 출생아에 적용)
 6) 보육료지원 : 보육시설 이용 만0~1세 영아에 바우처로 월 50만원 지원, 만2~7세 아동에 월28~30만원 지원(’22년 이전 출생아에 적용)
※ 상위 제도는 자녀순서에 관계없이 모든 아동 1명에게 동일 지원
6. 앞으로도, 아이를 낳아 기르는 것이 삶의 어려움이 되지 않고, '함께 일하고, 함께 돌보는 사회’를 만들 수 있도록, 효과성 높은 저출산정책 마련을 위해 관계부처 등과 지속적으로 소통하고 협력할 수 있도록 노력하겠습니다.
7. 귀하의 가정에 평안과 행복이 깃드시길 바라며, 기타 문의사항이 있으신 경우 보건복지부 인구정책총괄과(044-202-3367) 또는 보건복지콜센터(국번없이 129)로 연락주시면 안내드리겠습니다. 감사합니다.</t>
  </si>
  <si>
    <t>출산지원금 제도신설제안</t>
  </si>
  <si>
    <t>인구감소 문제의 심화</t>
  </si>
  <si>
    <t>요지: 1-13세의 부모들을 대상으로 한 명당 50만 원의 출산지원금 지원
예산: 1-13세 인구 530만 * 월 100만 * 12개월 = 63조 6천 억 (원)
출처: https://www.youtube.com/watch?v=YYTyPvoEcQM</t>
  </si>
  <si>
    <t>인구감소의 문제의 완화</t>
  </si>
  <si>
    <t>1. 귀하께서 국민신문고를 통해 신청하신 제안(신청번호 1AB-2112-0012365)에 대하여 회신드립니다.
2. 귀하의 제안인 "출산지원금 제도 신설"에 대하여 아래와 같이 답변을 드립니다.  ○ 정부는 '함께 일하고 함께 돌보는 사회 구축'을 위해 「제4차 저출산고령사회 기본계획」을 수립·발표('20.12월)하였으며, 향후 5년간 추진할 중장기 계획의 핵심사업으로 영아수당과 첫만남이용권(바우처) 사업을 추진하고 있으며, 이를 통해 출산·육아에 따른 경제적 부담을 경감할 수 있을 것으로 판단됩니다.
  ○ 첫만남이용권 및 영아수당 제도를 도입함에 앞서 지원대상 범위와 관련하여 다각적으로 검토하였으나, 최종적으로 국회심의를 통해 '22년 출생아부터 지원하기로 결정 되었습니다.
  ○ 귀하께서 제안하신 1~13세 대상 출산지원금 지급은 지원 대상을 대폭 확대하고, 막대한 국가예산이 투입되어, 이에 대한 사회적 합의 및 예산 추가 확보가 필요한 사안으로, 장기적으로 신중한 검토가 필요할 것으로 사료됩니다. 
3. 답변 내용에 대한 추가 문의사항이 있으신 경우 보건복지부 보건복지콜센터(국번없이 129) 또는 출산정책과(044-202-3398)로 연락주시면 성실히 답변 드리겠습니다. 감사합니다.  끝.</t>
  </si>
  <si>
    <t>육아문제와 출산대책 제안</t>
  </si>
  <si>
    <t>1.출산대책이 필요한 이유는
 1)청년들이 결혼을 서두르지 않는다. 그것은 취업 및 소득활동이 불안하기 때문이다. 
 2)요즘은 여성들의 사회활동이 활발하고 스스로의 명예와 성장욕구가 강하다. 
 2)결혼을 해도 아이를 낳으면 육아로 인하여 직장을 그만 두거나 휴직을 해야하기 때문에 회사원 경우 낙오자가 되어 일반적으로 복직하기 어렵게 되고, 경력이 단절되는 문제등으로 자신을 희생해야 하기에 아이를 낳지 않는다. 특히 여성 경우 더욱 그렇다. 
 3)또한 아이를 낳아 1명을 성인 되기까지 필요한 비용이  대체로 3억 ~ 10억원 내외로 많은 돈이 필요하다.</t>
  </si>
  <si>
    <t>2.따라서 민주당에서 주장하는 공공산후조리원은 출산대책의 근본적 문제인 육아문제에 접근할 수 없고, 산모의 몸조리 기간동안 복지시설에 불과하고 이것은 건강보험의 지원으로 보완하면 될 것으로 본다.
3.그러면 육아문제를 어떻게 접근해야 하는가?
 1) 1 ~ 3세 육아원 : 전국에 아파트단지 주택단지 등에 일반 가정의 중년주부가 3인이상 육아원을 부업으로 할 수 있도록 정부에서 지원정책을 발표하여 활성화한다.
 2) 4 ~ 5세 어린이집 : 현행 어린집을 공공시설로 흡수하여 국가교육정책으로 활성화하고, 직장내에서도 자치적으로 운영할 수 있는 제도를 도입하여 국가가 지원한다.
 3. 6~7세 : 유치원 : 현행 유치원을 단계적으로 공공이 흡수하여 국가교육정책의 일환으로 발전시킨다.</t>
  </si>
  <si>
    <t>1.국가의 중장기 성장대책과 인구대책을 수립관리할 수 있다.
2.인구가 급격히 감소하는 현실적인 문제점을 개선할 수 있다. 
3.청년들의 출산문제에 대한 심각한 경제적 부담과 생업에 대한 시간적 공간적 어려움을 국가가 일부 책임을 지므로써, 마음 놓고 사회생활을 영위하고 자기개발과 국가 발전에 기여할 수 있다.</t>
  </si>
  <si>
    <t>국민제안(1AB-2112-0009055)에 대해 다음과 같이 회신하고자 합니다.
- 다  음 -
1. 안녕하십니까? 보육정책에 관심 가지고 제안해 주신 것에 감사드리며 검토한 결과를 다음과 같이 알려드립니다.
2. 귀하의 제안내용은 '공공보육 지원을 통한 출생률 제고'에 관한 것으로 이해되며, 이에 대한 검토 의견은 다음과 같습니다.
 ○ 보건복지부에서는 2027년까지 공공보육 이용률 60% 달성을 목표로 국공립어린이집 설치 국비 보조를 매년 550개소 규모로 추진 중입니다. 아울러 영유아보육법 시행령 제19조2항에 의하여 500세대 이상의 공동주택에는 국공립어린이집 설치를 의무화하고 있습니다.
 ○ 국공립어린이집 확충은 신축, 매입, 리모델링 등 다양한 사업방식으로 추진 중이며, 장기임차를 통해 민간·가정어린이집을 국공립어린이집으로 전환하는 방식 또한 이루어지고 있습니다.
 ○ 또한, 영유아보육법 제14조에 따라 상시여성근로자 300명 이상 또는 상시근로자 500명 이상을 고용하고 있는 사업장에는 직장어린이집을 의무적으로 설치하도록 규정하고 있으며, 고용보험법 시행령 제24조 등에 의해 설치 및 운영비 지원이 이루어지고 있습니다.
 ○ 보건복지부에서는 지속적으로 공공보육을 확충하여 영유아 돌봄의 사회적 책임 강화를 위해 노력하겠습니다.
 2. 다시 한번 소중한 의견을 주신 것에 감사드리며, 이 밖에 문의사항이 있으실 경우, 보건복지부 보육정책과(044-202-3550) 및 보건복지콜센터(국번 없이 129번)로 문의하시기 바랍니다. 감사합니다.  끝.</t>
  </si>
  <si>
    <t>출생 장려 정책 제안</t>
  </si>
  <si>
    <t>통계청 자료에 의해 현재 우리나라의 출생률은 영유아 인구를 보면 간접적으로 알 수 있는데 0~4세 영유아 인구가 지속적으로 감소해 2018년 200만명에서 지속적으로 떨어져 120만 초반대를 기록할 것으로 예상되고 0~14세 인구가 2030년이 되면 모두 100만명대로 떨어집니다. 그에 반해 50~60대는 2030년 400만명대에 진입하게 됩니다. 
경제 인구가 감소하면 사회적으로 많은 문제점을 야기시키는 만큼 청년 정책뿐 아니라 출산 장려 정책도 필요합니다. 
경제적인 여유가 되는 사람들은 상관없겠지만 대부분의 국민들은 교육비 부담과 흙수저를 만들기 싫다 아이 키우느라 인생 허비한다 등등의 이유가 있습니다. 
유아를 키울 수 있는 직장 환경, 복지 또한 개선해야 되겠지만 코로나로 기업도 힘들고 개인도 힘든 시기에 누가 아이를 낳아 키우겠다는 결심을 할까요?</t>
  </si>
  <si>
    <t>그래서 포퓰리즘이라고 비판도 받겠지만 투자의 개념으로 접근하는 것도 좋다고 생각합니다. 
출생아 1인당 성년 만 18세가 될때까지 18년동안 최대 1억까지 분산 투자하고 성년이 되어 직장을 가지고 경제활동을 시작한 후 퇴직할 때까지 정부가 투자한 원금+이자를 세금으로 추가 납부하는 정책을 제안합니다. 
물론 그 중에는 사고도 있을 수 있고 제대로 된 직장을 구하지 못하는 청년도 있을 수 있습니다. 
정부입장에서 그 부분은 손실이 될수도 있겠지만 그 정도는 감수할 만하다고 생각됩니다. 
우선적으로 저소득층 등 특정 계층을 대상으로 신청을 받아 심사하여 지원대상폭을 늘려간다면 출생률도 높아지지 않을까 생각합니다.</t>
  </si>
  <si>
    <t>물론 가장 기본은 어릴 때는 가족간의 유대, 심리적 안정 등이 매우 중요합니다. 성범죄자, 극악범죄, 사이코패스들은 어릴때의 가족과 경험이 많이 좌우하기 때문입니다. 거기에 더해 어릴 때부터 두각을 나타내거나 재능이 나타나는 분야가 있다면 기본교육 +  투자를 통한 특화된 교육을 통해 전문가를 키울 수 있는 환경 토대를 만들 수 있을 거라고 생각됩니다. 
교육의 평등한 기회 측면에서도 출산계획이 있는 신혼부부들의 경제적 지원이라는 측면에서도 많은 장점이 있다고 생각되고 자원이 없는 나라에서 미래의 대한민국을 이끌어갈 인적 자원에 투자한다는 점에서도 좋을 것이라고 생각됩니다.</t>
  </si>
  <si>
    <t>1. 안녕하십니까? 보건복지부 인구정책총괄과입니다. 귀하께서 국민신문고를 통해 신청하신 제안에 대한 검토 결과를 다음과 같이 알려드립니다.
2. 먼저 인구정책에 관심을 가지고 의견주심에 감사드립니다. 귀하께서는 저출산 해결을 위해 만18세가 될 때까지 최대 1억 분산투자 및 성인 후 경제활동시 퇴직할때까지 투자금액을 반환하는 방안을 제안해주신 것으로 이해됩니다.
3. 정부는 2020년 말에 발표한 제4차 저출산 고령사회 기본계획(2021-2025)에서 부모의 영아기 아동을 돌볼 권리를 보장해주고, '아이가 가족과 함께 하는 시간'을 보장할 수 있는 사회로 나아가기 위해, 양육부담을 완화하기 위해 아래와 같은 다양한 정책을 추진하고 있습니다.
 1) 첫만남꾸러미Ⅰ : 임신,출산 의료비 바우처 100만원 지원(‘22년부터)
 2) 첫만남꾸러미Ⅱ : 출생시 아동당 200만원 지원 (’22년 출생아부터 지원)
 3) 아동수당 : 보육시설 이용여부 관계없이 만8세 미만 아동에 월 10만원 지원
 4) 영아수당 : 만0~1세 영아대상 보육시설 미이용시 월 30만원('25년까지 단계적 50만원으로 확대) 또는 보육시설 이용 또는 아이돌봄 서비스 이용시 바우처 월 50만원 지원
   * 현행 가정양육수당과 보육료바우처를 통합한 수당으로 '22년 출생아부터 적용
 5) 가정양육수당: 보육시설 미이용 만2~7세 아동에 월10만원 지원('22년 이전 출생아에 적용)
 6) 보육료지원 : 보육시설 이용 만0~1세 영아에 바우처로 월 50만원 지원, 만2~7세 아동에 월28~30만원 지원(’22년 이전 출생아에 적용)
※ 상위 제도는 자녀순서에 관계없이 모든 아동 1명에게 동일 지원
4. 이 외에도 아동 진료비 본인부담률 인하, 고위험 임산부 의료비지원 대상 질환 확대 등 아이를 낳고 기르는데 필요한 의료비 부담을 완하하였으며, 타부처에서도 고등학교 무상교육 도입('19), 다자녀가구 대학등록금 면제, 출산전후 휴가급여 인상, 육아휴직 급여 확대 및 특례적용 등의 양육에 필요한 부담완화 정책을 확대하여 지원하고 있습니다.
 - 다만, 귀하의 제안의 경우 지금보다 상당한 수준의 재정 지출이 소요되는 점, 국가가 다시 환수해야 하는 점 등에 대해서는 사회적 합의가 선행되어야 하는 등 신중한 검토가 필요한 사항으로 중장기검토가 필요한 바 불채택 처리함을 알려드립니다.
5. 앞으로도, 아이를 낳아 기르는 것이 삶의 어려움이 되지 않고, ‘함께 일하고, 함께 돌보는 사회’를 만들 수 있도록, 귀하께서 의견을 주신 3년의 유급 육아휴직, 아동양육가구 주거지원 등을 포함하여 효과성 높은 저출산정책 마련을 위해 관계부처 등과 지속적으로 소통하고 협력할 수 있도록 노력하겠습니다.
6. 귀하의 가정에 평안과 행복이 깃드시길 바라며, 기타 문의사항이 있으신 경우 보건복지부 인구정책총괄과(044-202-3367) 또는 보건복지콜센터(국번없이 129)로 연락주시면 안내드리겠습니다. 감사합니다.</t>
  </si>
  <si>
    <t>다자녀 가구 지원 출산장려 홍보</t>
  </si>
  <si>
    <t>-출산율(0.92명) 저하로 인구 감소, 국가 위기 우려.
 * 다자녀 가구 육아보육비 증가 등이 저출산의 원인임.
- 지자체별로 출산장려 지원시책을 추진하고 있으나 효과 미미함.
- 알토란프로 TV방영 가수 박지헌 부부의 다자녀 가정 모범 사례임.</t>
  </si>
  <si>
    <t>- 박지헌 부부처럼 다자녀 가구로 열심히 살면서 생계의 어려움을 겪고 있는 숨겨진 다자녀 가구를 적극적으로 발굴하여 다각적인 지원방안 강구.
 * 무명가수 박지헌 공영방송 출연 적극 지원 등등.
- 관련 부처 협업을 통한 모범사례 홍보 및 지원.
 * 4~5명 이상 다자녀 가구 육아보육비 지원 확대.
 * 다자녀 가구 사례 및 드라마 제작 TV방영 홍보.
-  TV 드라마, 사례 홍보를 통한 자발적 출산 참여 유도.</t>
  </si>
  <si>
    <t>1. 안녕하십니까? 보건복지부 인구정책총괄과입니다. 귀하께서 국민신문고를 통해 신청하신 민원에 대한 검토 결과를 다음과 같이 알려드립니다.
2. 귀하께서는 저출산극복을 위해 다자녀가구 발굴, 홍보, 지원확대를 건의해 주신 것으로 이해됩니다.
3. 2021년 합계출산율을 0.81명(잠정)의 저출산 현상은 청년 일자리 문제, 높은 주거비, 성장중심 주의로 인한 과도한 사회경쟁, 일 중심적인 사회분위기 및 국민 인식변화 등 사회·경제·구조적 요인과 가치관 변화에 따른 총체적 결과로 분석됩니다. 이를 위해서는 일 쏠림이 아닌 일과 삶의 균형을 회복하고, 과도한 경쟁이 아닌 포용과 연대의 문화를 확산하고 가정과 사회의 성 불평등을 해소하는 방향으로 우리 사회를 개선해 나갈 필요가 있다고 생각됩니다.
4. 이에 정부는 제4차 저출산고령사회 기본계획에서는 다자녀중심 정책에서 출생순서에 관계없이 모든 아동에 대한 육아부담 완화를 위한 가족지원을 확대하는 방향으로 정책방향을 변경하여 아래와 같은 지원정책을 추진하고 있습니다.
  - 같은 맥락으로 다자녀가구의 지원기준 또한 2자녀로 개선하는 등 아동 1인에 대한 투자가 더욱 충실해질 수 있도록 개선하고 있습니다.
 ㅇ 첫만남꾸러미Ⅰ : 임신,출산 의료비 바우처 100만원 지원(2022년부터)
 ㅇ 첫만남꾸러미Ⅱ : 출생시 아동당 200만원 지원 (2022년 출생아부터 지원)
 ㅇ 아동수당 : 보육시설 이용여부 관계없이 만 8세 미만 아동에 월 10만원 지원
 ㅇ 영아수당 : 만 0~1세 영아대상 보육시설 미이용시 월 30만원(2025년 50만원까지 단계적 확대) 또는 보육시설 이용 또는 아이돌봄 서비스 이용시 바우처 월 50만원 지원
   * 현행 가정양육수당과 보육료바우처를 통합한 수당으로 2022년 출생아부터 적용
 ㅇ 가정양육수당: 보육시설 미이용 만 2~7세 아동에 월 10만원 지원(2022년 이전 출생아에 적용)
 ㅇ 보육료지원 : 보육시설 이용 만 0~1세 영아에 바우처로 월 50만원 지원, 만 2~7세 아동에 월 28~30만원 지원(2022년 이전 출생아에 적용)
 ※ 상위 제도는 출생순위에 관계없이 아동 1명 당 동일 지원
5. 그럼에도 불구 다자녀가구의 자녀에 대해 아래와 같이 지원기준 완화, 지원금 상향 등의 지원도 시행되고 있음을 알려드립니다. 
 ㅇ (어린이집 우선 입소) 3자녀 이상 또는 영유아 2명 이상 가구는 어린이집 우선 입소
 ㅇ (아이돌봄서비스 우선지원) 만 12세 자녀 3명 이상 또는 만 36개월 이하 자녀 2명인 경우 우선지원
 ㅇ (다자녀가구 건설임대 공급) 품질좋은 중형(전용60~85㎡) 신규주택 공급(사업승인기준) 및 거주기간 30년 확장(소득·자산요건 충족시)
 ㅇ (다자녀가구 넓은평형 우선공급) 자녀 2명 이상 가구에 넓은 평형의 공공임대주택 이주 우선권 부여
 ㅇ (다자녀가구 매입·전세임대 공급) 다자녀 유형 매입임대에 무보증금 또는 보증금 50% 할인 적용, 전세임대는 자녀수에 따른 임대료 인하*
     *1자녀 0.2%p, 2자녀 0.3%p, 3자녀 이상 0.5%p 인하
 ㅇ (다자녀가구 주거비 부담 완화) 구입·전세자금 대출 한도 각 2천만원 상향*
     *(구입) 2.4억원 → 2.6억원, (전세) 2.0억원 → 2.2억원 우대금리 지속지원
 ㅇ (다자녀가구 대학등록금 지원) 기준중위소득 200% 이하 가구*에 경우 셋째 등록금 전액, 첫째 및 둘째 연간 최대 445만원, 단 기초, 차상위계층의 경우 첫째 연간 최대 700만원, 둘째부터 전액 등록금 지원
   * '22년 4인 가구 중위소득 200% : 10,242,160원
 ㅇ (다자녀 가구 학자금 대출우대) 3인 이상 다자녀 가구에 한하여 소득기준에 관계없이 첫째, 둘째 자녀 포함하여 취업 후 상환 가능토록 두애
 ㅇ (다자녀가구 공공요금 감면) 전기요금, 도시가스 요금, 지역난방비, 수목원, 국립 문화시설 이용료, KTX 등 철도운임, 자동차 취득세 감면, 자녀 세액공제
 ㅇ (국민연금 출산크레딧) 자녀 수에 따라 국민연금 가입기간 추가산정(최대 50개월, 2자녀 경우 12개월 추가, 3자녀의 경우 18개월 추가산정 등)
6. 또한, 국민 개인의 선택을 존중하면서 결혼,출산을 가로막는 사회구조 전반에 대한 근본적 개선이 필요하다는 점을 인지하고, 부모모두 함께 육아, 육아휴직사용 문화, 아이 키우기 좋은 환경 조성에 중점을 두고 홍보를 추진하고 있음을 알려드립니다.
7. 이에 귀하의 제안은 제4차 기본계획 취지와 목적에 위배되는 사항으로 불채택 처리함을 알려드립니다. 귀하의 가정에 평안과 행복이 깃드시길 바라며, 기타 문의사항이 있으신 경우 보건복지부 인구정책총괄과(044-202-3367) 또는 보건복지콜센터(국번없이 129)로 연락주시면 안내드리겠습니다. 감사합니다.</t>
  </si>
  <si>
    <t>출산률 높이는 현실적인 방안!</t>
  </si>
  <si>
    <t>요즘 결혼 자체를 꺼리는 분위기입니다. 외국에서는 혼외자식 비율이 엄청 높지만 우리나라는 적습니다. 적은 만큼 편견도 가득한 나라입니다.
인간의 본능은 좋은 유전자를 받아 아이를 낳는 것입니다. 동물의 세계에서도 마찬가지로 상위 10의 수컷만 번식했습니다.
사유리처럼 결혼을 안하지만 아이는 갖고 싶은 여자들이 생각이상으로 많습니다. 좋은 유전자를 받고자 하는 여자들의 본능이기 때문입니다. 이미 중국에서는 부잣집 여자들이 좋은 유전자 선택해서 아이 낳는 경우가 많다고 합니다.</t>
  </si>
  <si>
    <t>결혼하지 않는 여자에게 정자기증을 합법화해주세요!
왜 농촌의 남자들에게는 국제결혼 장려금 몇백만원을 지원해주고 여자들에게는 정자 기증을 남편이 있어야만 가능한가요?
미혼 여자도 정자은행에서 기증받아 아이낳을 권리를 주세요!  
이게 제도화 되어야 비혼모의 증가로 한부모가정에 대한 편견도 사라집니다. 
지금 출산률은 전쟁난만큼 곤두박질되었는데.. 경제력있고 혼자살고 싶은 여자들에게 아이 낳을 환경을 만들어주세요!</t>
  </si>
  <si>
    <t>출산률 증가!</t>
  </si>
  <si>
    <t>1. 안녕하십니까? 귀하께서 국민신문고를 통해 신청하신 국민제안(신청번호 1AB-2204-0005093)에 대한 검토 결과를 다음과 같이 알려드립니다.
2. 귀하의 제안사항에 대해 검토한 의견은 다음과 같습니다.
 ○ 「생명윤리 및 안전에 관한 법률」(이하 "생명윤리법") 제24조에 따르면 배아생성시 체외수정 시술대상자의 배우자가 있는 경우 배우자 서면동의를 받도록 규정하고 있으나, 동법 시행규칙의 배아생성동의서(별지 제13호서식)에 따르면 배우자가 없는 경우에는 "해당없음"으로 표기하도록 규정되어 있습니다.
 ○ 즉, 배우자가 없는 경우에는 배우자 서면동의가 불필요하므로 미혼인 시술대상자가 체외수정시술을 하는 것은 생명윤리법 상 위법사항이 아님을 안내드립니다.
3. 귀하의 소중한 제안에 감사드리며 기타 보다 자세한 내용이 알고 싶으시다면 보건복지콜센터(129번) 혹은 보건복지부 생명윤리정책과(담당자 044-202-2614)로 문의하시기 바랍니다. 늘 건강하시고 평안하시길 바랍니다. 감사합니다.  끝.</t>
  </si>
  <si>
    <t>출산정책에 대한 제안</t>
  </si>
  <si>
    <t>1.  육아에 필요한 실질적 지원이 현재 미비하다.
     (저소득자들의 출산에 대한 특단의 조치가 없다.)
2.  다자녀에 대한 지원제도도 실질적인 혜택이 미비하다.(전기세,상하수도세,자동차세 등등)
3.  지자체마다 다른 다자녀 가구및 다자녀 출산혜택에 대한 문제점이 있다.
    인구가 상대적으로 많은 도시에 살고 있는 다자녀 가장으로서 지원혜택이 크게 와 닿지않습니다.
    그렇다고 해서 인구가 적고 지원혜택이 큰 도시로 출산의 혜택을 위해서 곧바로 이사할 수 없는 상황입니다.
4. 결혼한 신혼부부가 출산을 적극적으로 할 수 있는 내집마련 혜택이 크게 없다.</t>
  </si>
  <si>
    <t>1. 육아에 필요한 기저기,모유수유,의복,의료비(분유값)등을 정확히 파악해서 실질적인 도움이 되도록 지원해 주셨으면 합니다.
   단 물론 소득에 따른 혜택의 차이는 있을 수 있다고 봅니다.
2. 다자녀를 키우다 보니 전기료, 상하수도세, 자동차세 등은 자녀수나 전기사용료에 따라서 적절한 지원및 할인제도가 
    있었으면 합니다. 위 세들에 대한 발생금액의 50% 이상을 지원해 주셨으면 합니다.
3. 도,시,군 마다 다른 출산혜택을 국가가 재정비하고 획일된 지원제도를 마련해 주셨으면 합니다.
4. 결혼한 신혼부부라도 자녀수에 따른 대출제도나 주택구입자금 지원제도에 큰 혜택을 주므로서 다자녀 출산을 유도했으면 합니다. 예를 들어 자녀수가 늘어날 수록 주택구입비를 감면해 주면 좋겠습니다.</t>
  </si>
  <si>
    <t>1. 출산에 많은 관심과 적극적인 출산이 될것 같습니다.
2. 출산에 따른 고령화 문제해결이나 국가 경쟁력이 향상될거 같습니다.
3. 인구증가에 따른 경제적으로도 활발한 경제활동(생산력,소비력)이 일어날거 같습니다.</t>
  </si>
  <si>
    <t>1. 안녕하십니까? 귀하께서 국민신문고를 통해 신청하신 제안(1AB-2202-0003332)에 대하여 회신 드립니다.
2. 귀하의 제안내용은 '국가의 출산지원정책 개선'에 관한 것으로 이해되며 아래와 같이 답변을 드립니다.  
  ○ 정부는 '함께 일하고 함께 돌보는 사회 구축'을 위해 「제4차 저출산고령사회 기본계획」을 수립·발표('20.12월)하였으며, 향후 5년간 추진할 중장기 계획의 핵심사업으로 출생·육아에 따른 경제적 부담 경감을 위해 영아기 집중투자(영아수당, 첫만남이용권(바우처), 임신출산의료비 확대 등) 사업을 추진하고 있으며, 이를 통해 출산·육아에 따른 경제적 부담을 경감할 수 있을 것으로 판단됩니다.
  ○ 또한 우리부에서는 '저소득층 기저귀·조제분유 지원사업'을 추진중으로 지원기준에 충족되는 저소득층을 대상으로 기저귀와 분유를 지원하는 제도를 기시행중이며,
  ○ 지방자치단체의 출산지원금은 지자체의 수요, 필요성, 정책방향, 재정상황 등의 종합적인 검토를 거쳐 지자체장의 판단에 따라 운영하는 제도임을 알려드립니다.
3. 답변 내용에 대한 추가 문의사항이 있으신 경우 보건복지부 보건복지콜센터(국번없이 129)로 연락주시면 성실히 답변 드리겠습니다. 감사합니다.  끝.</t>
  </si>
  <si>
    <t>저출산 취업난 양성평등 동시다발 해결 방안</t>
  </si>
  <si>
    <t>우리나라의 청년들은 취업 결혼 출산을 포기한 3포 세대라고 일컫고 있다. 왜 이렇게 되었을까? 지난 20여년간 수백조원을 저출산 청년취업 예산으로 쏟아붓고도 좀처럼 해결의 여지가 보이지 않는다. 이는 정부가 청년들이 근본적으로 무엇을 원하고 있는지 제대로 된 원인을 찾지 않고 당장 눈에 보이는 가시적인 효과만 찾으려 하기 때문이다. 이에 대한 근본적인 해답을 제시하고자 한다.</t>
  </si>
  <si>
    <t>&lt;결혼한 부부들을 위한 정책&gt;
1. 결혼 후 자녀를 낳으면 국가에서 자녀가 20세가 될 때까지 전업주부에게 자녀1인당 100만원씩 월급 지급
 - 단, 부부 중에서 반드시 1명은 아이를 키워야 함. 맞벌이 부부에게는 지급 안함
 - 자녀가 2명일 경우 200만원 지급, 3명일 경우 300만원
2. 재원 마련
 - 고용노동부 취업 관련 예산, 여성가족부 저출산 예산, 부동산세 및 법인세 증가분 등 연간 40조원 확보
 - 각 부처별 불필요하게 쓰여지는 낭비성 예산이 너무 많아 이에 대한 면밀한 예산 심의와 집행 필요</t>
  </si>
  <si>
    <t>3. 기대효과
 - 자녀 양육을 위한 젊은 부부들의 어려움 해소
 - 전업주부를 국가에서 직업으로 인정함으로써 새로운 일자리 창출 및 취업난 해소
 - 전업주부들의 고된 노동에 대한 정당성 있는 가사노동 가치 인정
 - 부모의 책임있는 양육으로 가정에서의 정서적 안정을 통한 국가적 미래 인재 육성
 - 아이낳고 싶은 양육 복지 체제로 저출산 문제 해결, 부모 중 누구나 전업주부로서의 가치를 인정받게 됨으로써 양성평등의 취지 실현</t>
  </si>
  <si>
    <t>1. 안녕하십니까? 보건복지부 인구정책총괄과입니다. 귀하께서 국민신문고를 통해 신청하신 제안에 대한 검토 결과를 다음과 같이 알려드립니다
2. 귀하께서는 저출산현상 해결을 위해 출산한 전업주부에 자녀1인당 100만원의 월급지급(맞벌이부부 제외)이 필요하다는 1차제안에 대한 제검토를 건의하신 것으로 이해됩니다.
3. 저출산 극복의 방법으로 양육부담 완화를 위한 비용 지원이 필요하다는 귀하의 제안취지에는 공감합니다.
 - 다만, 저출산의 원인으로 양육비용 부담 뿐 아니라 노동시장 격차, 불안정 고용 증가, 교육경쟁 심화, 높은 주택가격, 성차별적 노동시장, 일가정양립의 곤란, 돌봄시설 부족 등 돌봄공백, 전통적 경직적 가족규범 및 제도 지속에 따라 다양한 가족 구성에 대한 포용, 존중 부족, 삶의 우선순위에 대한 청년층의 인식과 태도변화 등이 언급되고 있는 바, 양육비용 직접지원 외의 다양한 영역의 걸친 투자·지원이 필요할 것으로 생각됩니다.
4. 귀하의 제안에 따르면 아동 1인당 연 1천 2백만원이 지원되며,
 - 21년 출생아수(약 26만명) 기준 유배우가구의 약 50%*가 맞벌이가구임을 감안하여 20세까지 지원할 경우 연간 30조 수준의 예산이 소요됩니다. (12백만원x26만명x20년x0.5)
   * 지역별 고용조사 맞벌이 가구 현황(‘20) : 15세~64세 유배우 가구의 50.6%가 맞벌이 가구
 - 다양한 저출산원인이 언급되고 있는 가운데 이와 같은 상당한 수준의 재원마련 및 지출출에 대해서는 재정당국과의 합의가 선행되어야 하는 등 신중한 검토가 필요한 사항입니다.
 - 다만, 정부도 육아부담완화를 위한 가족지원투자의 확대필요성에 공감하며, '22년 영아수당, 첫만남이용권 도입을 시작으로 아동수당 지원대상 확대 등 직접지원강화를 위해 노력하도로 하겠습니다.
5. 또한 직업활동은 생활비, 양육비 마련을 위한 경제활동이자 자아실현 활동으로서, 삶의 우선순위를 ’결혼,자녀‘에서 ’노동‘ 중심으로 이동한 청년들을 대상으로
맞벌이 가구를 제외하고 양육비를 지원할 경우 여성과 남성 모두 노동이 필연적인 사회에서 일-가정 양립 등 함께 일하고, 함께 돌보는 여건을 조성에 초점을 두고 수립된 제4차 저출산고령사회기본계획의 추진방향에도 위배되는 사항으로 판단됩니다.
6. 이에 '외벌이 가정에 아동당 월 100만원의 양육비용을 지원'하자는 귀하의 제안은양육비 지원 측면에서 이미 우리 부에서 추진하고 있는 기본구상이 유사하고, 대상선정에 있어 현행제도의 취지와 목적에 위배되는 점으로 불채택 함을 알려드립니다. 
7. 기타 문의사항이 있으신 경우 보건복지부 인구정책총괄과(044-202-3367) 또는 보건복지콜센터(국번없이 129)로 연락주시면 안내드리겠습니다. 감사합니다.</t>
  </si>
  <si>
    <t>미혼모 임신, 출산, 육아 정보 제공 제안 건</t>
  </si>
  <si>
    <t>보건복지부에서 관리하는 아이사랑 홈페이지에는 다양한 정보가 있으나
미혼모의 임신, 출산, 육아에 대한 정보는 찾을 수 없습니다.
저출산이 심각한 요즘, 미혼모들도 용기를 내어 아이를 키울 수 있도록 많은 정보가 제공되어야 합니다.</t>
  </si>
  <si>
    <t>미혼모의 임신과 출산, 육아에 대한 메뉴를 생성하여 다양한 정보를 제공합니다.
지역별로 도움을 받을 수 있는 장소를 알려 주는 메뉴를 생성합니다.</t>
  </si>
  <si>
    <t>미혼모들의 두려움을 줄이고 용기를 이끌 수 있습니다.
버려지는 아이들이 줄어들 것입니다.
저출산을 어느 정도 해소할 수 있습니다.</t>
  </si>
  <si>
    <t>1. 안녕하십니까? 귀하께서 국민신문고를 통해 신청하신 제안에 대한 검토결과를 다음과 같이 안내드립니다. 
2. 귀하의 제안내용은 '아이사랑사이트 내 미혼모의 임신,출산,육아 정보제공' 으로 이해됩니다.
3. 아이사랑 사이트는 임신·출산·육아 종합정보제공 포털사이트로 미혼모 뿐만아니라 전체 임산부를 포괄할 수 있는 임신·출산·육아에 대한 건강정보 제공 및 정부정책에 대한 안내를 하고 있습니다. 
   현재 아이사랑사이트에서 제공하고 있는 정보는 미혼모가정도 적용될 수 있는 내용으로 구성되어 있으나, 관련기관의 자문을 통해 별도의 미혼모가정 콘텐츠 개발이 필요하다고 판단되는 경우, 향후 사업 추진 시 관련 내용을 검토하도록 하겠습니다.
   또한, 지역별 도움 받을 수 있는 미혼모 시설이나 기관에 대한 정보는 소관 부서인 여성가족부를 통해 제공받을 수 있도록 링크메뉴개발 및 생성을 통하여 연계 될 수 있는 방향으로 검토하여 추진할 수 있도록 하겠습니다.  
4. 제안주신 내용에 대해 충분한 답변이 되었길 바라며, 추가설명이 필요한 경우 보건복지부 콜센터(129)또는 출산정책과(김인애, 044-202-3402)로 문의하시면 친절히 안내하도록 하겠습니다. 감사합니다.  끝.</t>
  </si>
  <si>
    <t>임산부 출산에 관한 제안</t>
  </si>
  <si>
    <t>현재 우리나라 출산율은 바닥을 치고 있으며, 20년후 우리나라는 인구절벽을 경험할꺼라는 말이 있습니다.
정부에서는 각종 정책들을 내놓고 있지만, 출산율은 계속해서 떨어지기만 합니다.
무엇보다도 출산과 육아 하기 좋은 환경이 필요하다고 생각됩니다.
간단하게, 출산이 쉬워야, 출산이 부담이 없어야, 출산이 늘어난다고 생각합니다.
출산휴가, 육아휴가가 있다고 하지만,
어느정도 보장이 되는 대기업, 공기업 제외하고, 실제론 사용이 굉장히 힘든 상황입니다.
임신과 출산에 대한 사회보장 서비스는,
출산율 증가와 더불어 산모 및 태아 건강에 핵심이 되는 부분이자,
오히려 시민의 기본적인 기본권에 해당하는 부분이라 생각합니다.
직장인이다 아니다, 공무원이다 아니다, 여자다 남자다,
그런 부분들에 의해 타협 가능한 항목이 아니라고 생각합니다.</t>
  </si>
  <si>
    <t>임산부가 출산 전후 2달씩, 병원에서 요양하는 것을 선택할수 있게, 
국가에서 지정하고, 법으로 보장 부탁드립니다.
* 아이낳기 직전까지, 그리고 아이 낳은 직후 조차, 분유값을 벌기위해 직장을 찾는 엄마들도 있습니다.</t>
  </si>
  <si>
    <t>1. 누구나 언제나 안심하고 출산 할수 있는 사회복지서비스
2. 출산에 대한 긍정적인 사회분위기
3. 출산율 증가에 이바지
4. 지속가능한 대한민국</t>
  </si>
  <si>
    <t>1. 안녕하십니까? 보건복지부 인구정책총괄과입니다. 귀하께서 국민신문고를 통해 제안하신 민원에 대한 검토의견을 아래와 같이 알려드립니다.
2. 귀하의 제안은 임산부 출산 전후 2달씩 병원요양할 수 있도록 제도화할 것을 건의하신 것으로 이해됩니다.
3. 건강한 임신과 출산의 중요성에 대한 귀하의 의견에 동의합니다. 다만, 병원은 치료를 포함한 의학적 중재를 위한 기관으로 의료진의 판단에 따라 입원이 가능하며, 출산 전후 임산부의 병원요양은 선택사항이 될 수 없음을 양해해주시기 바랍니다.
4. 아울러, 첫만남이용권, 영아수당, 아동수당과 같은 보편지원 외에 저소득층 가구의 출산, 양육부담 완화를 위해  이외에 아래와 같은 제도도 운영되고 있음을 알려드립니다.
 ○ (해산비용지원) 생계, 의료, 주거급여 수급자가 출산한 경우 1인당 70만원의 해산비용 지원
 ○ (산모,신생아 건강관리지원) 생계,의료,주거,교육급여 수급자 또는 차상위계층 해당 출산가정에 산모,신생아 건강관리사 파견하여 산모,신생아 관련 돌봄 지원
 ○ (기저귀,조제분유 지원) 저소득 가구에 기저귀 및 조제분유를 24개월 동안 영아별 지원
 ○ (저소득층 유아학비지원) 사립유치원 이용하는 법정저소득층 유아에 교육과정비 추가지원 
 ○ (아이돌봄서비스) 중위소득 150%이하 가정대상 아이돌보미 파견하여 돌봄서비스 제공
 ○ (영유아 건강검진) 저소득층 가구일 경우 영유아검진결과 발달장애 의심시 발달장애 정밀검사비 지원
 5. 귀하의 가정에 평안과 행복이 깃드시길 바라며, 기타 문의사항이 있으신 경우 보건복지부 인구정책총괄과(044-202-3367) 또는 보건복지콜센터(국번없이 129)로 연락주시면 안내드리겠습니다. 감사합니다.</t>
  </si>
  <si>
    <t>출산장려정책 일환 다자녀 가족 엄마 공적기관 우선 취업권 부여</t>
  </si>
  <si>
    <t>자녀 하나만 낳아 키우기도 힘들어 죽겠다고 하는 엄마들이 많습니다만 셋, 넷, 다섯, 여섯을 낳아 키우는 엄마도 있습니다. 그런데 많이 낳아 키우는 엄마는 경제적으로 힘들다는 하소연이 많습니다. 다자녀 엄마는 가사, 양육만 몰빵해야하는 현실입니다. 자녀들을 풍족하게 키우려면 아빠, 엄마가 함께 벌어야하는데 다자녀 엄마가 취업하기는 하늘의 별따기입니다. 공정, 정의 운운하며 똑같은 기준만을 적용하기 때문입니다. 국가가 나서야합니다. 다자녀 키우는데 흙파서 키우지 않습니다. 경제력이 뒷받침 되어야합니다. 공적기관에서 근무해야 그나마 여러가지 혜택을 받아 맞벌이가 가능합니다. 제발 국가가 앞장서 주세요.</t>
  </si>
  <si>
    <t>다자녀 셋째, 넷째, 다섯째 등 출산 자녀수를 기준으로 엄마의 공적기관 취업 우대권을 부여한다.
공적기관 근무는 엄격한 법의 테두리에서 기본적인 사항들이 보호받기 때문에 선호합니다.
다자녀를 양육하는 엄마들이 경제적인 면에서 고통을 겪지 않도록 다자녀 엄마들의 공적기관 취업 우대권을 부여합니다.
셋째, 넷째, 다섯째, 여섯째 등 많이 낳아 키우는 엄마가 자녀를 어느 정도(초등학교 이상) 양육한 후에 맞벌이가 가능하도록 국가가 제도적으로 뒷받침해줍니다.</t>
  </si>
  <si>
    <t>경제적으로 위축될 수 밖에 없는 다자녀 가족의 엄마가 사회생활을 하면서 경제적으로 뒷받침하는 것은 물론 일평생을 자녀 양육과 가족 뒷바라지에만 쏟아붓는 극한 체험에서 벗어날 수 있을 것입니다. 돈도 벌고 사회적 생활도 가능한 다자녀 엄마가 되어야 다자녀를 두렵지 않게 여길 것입니다. 다자녀 아빠로서 다자녀 엄마는 자신의 삶이 없어졌다고 합니다. 경제적으로도 너무 힘들다고 하면서 하나나 둘 정도 낳아 자식 키우는 집의 아이들 보면 가장 기본적인 것도 제대로 챙겨주지 못해 엄마로서 죄짓는 것 같다고도 합니다. 국가가 나서서 해결해 줘야 합니다. 그냥 돈만 달라고하는 정책이 아니라 다자녀 엄마도 한 인간으로 살 수 있는 길을 열어달라고 하는 것입니다.</t>
  </si>
  <si>
    <t>1. 안녕하십니까? 보건복지부 인구정책총괄과입니다. 귀하께서 국민신문고를 통해 제안하신 민원에 대한 검토의견을 아래와 같이 알려드립니다.
2. 귀하께서는 다자녀 양육의 경제적 부담완화를 위해 다자녀양육자에 대해 공공기관 채용우대를 제안해주신 것으로 이해됩니다.
3. 정부에서는 양육부담 완화를 위해 2022년부터 아동수당, 영아수당, 첫만남이용권 등 아래와 같은 수당을 지원하고 있습니다. 이러한 수당은 아동 개개인을 대상으로 동일한 금액을 지원합니다.
 ㅇ 첫만남꾸러미Ⅰ : 임신,출산 의료비 바우처 100만원 지원('22년부터)
 ㅇ 첫만남꾸러미Ⅱ : 출생시 아동당 200만원 지원 ('22년 출생아부터 지원)
 ㅇ 아동수당 : 보육시설 이용여부 관계없이 만8세 미만 아동에 월 10만원 지원
 ㅇ 영아수당 : 만0~1세 영아대상 보육시설 미이용시 월 30만원('25년까지 단계적 50만원으로 확대) 또는 보육시설 이용 또는 아이돌봄 서비스 이용시 바우처 월 50만원 지원
   * 현행 가정양육수당과 보육료바우처를 통합한 수당으로 '22년 출생아부터 적용
 ㅇ 가정양육수당: 보육시설 미이용 만2~7세 아동에 월10만원 지원('22년 이전 출생아에 적용)
 ㅇ 보육료지원 : 보육시설 이용 만0~1세 영아에 바우처로 월 50만원 지원, 만2~7세 아동에 월28~30만원 지원('22년 이전 출생아에 적용)
4. 이외 정부의 다자녀가구의 자녀에 대해 아래와 같이 지원기준 완화, 지원금 상향 등의 지원도 시행되고 있음을 알려드립니다. 
 ㅇ (어린이집 우선 입소) 3자녀 이상 또는 영유아 2명 이상 가구 어린이집 우선 입소
 ㅇ (아이돌봄서비스 우선지원) 만 12세 자녀 3명 이상 또는 만 36개월 이하 자녀 2명인 경우 우선지원
 ㅇ (다자녀가구 건설임대 공급) 품질좋은 중형(전용60~85㎡) 신규주택 공급(사업승인기준) 및 거주기간 30년까지 연장(소득·자산요건 충족시)
 ㅇ (다자녀가구 넓은평형 우선공급) 자녀2명 이상 가구에 넓은평형의 공공임대주택 이주 우선권 부여
 ㅇ (다자녀가구 매입·전세임대 공급) 다자녀유형 매입임대에 무보증금 또는 보증금 50% 할인 적용, 전세임대는 자녀수에 따른 임대 인하*료
     *1자녀 0.2%p, 2자녀 0.3%p, 3자녀 이상 0.5%p 인하
 ㅇ (다자녀가구 주거비부담완화) 구입·전세자금 대출 한도 각2천만원 상향*
     *(구입) 2.4억원→2.6억원, (전세) 2.0억원→2.2억원) 우대금리 지속지원
 ㅇ (다자녀가구 대학등록금 지원) 기준중위소득 200% 이하 가구*에 경우 셋째 등록금 전액, 첫째 및 둘째 연간 최대 445만원, 단 기초,차상위계층의 경우 첫째 연간 최대 700만원, 둘째부터 전액 등록금 지원
   * '22년 4인가구 중위소득 200% : 10,242,160원
 ㅇ (다자녀 가구 학자금 대출우대) 3인 이상 다자녀 가구에 한하여 소득기준에 관계없이 첫째, 둘째 자녀 포함하여 취업 후 상환 가능토록 우대
 ㅇ (다자녀가구 공공요금 감면) 전기요금, 도시가스 요금, 지역난방비, 수목원, 국립 문화시설 이용료, KTX 등 철도운임, 자동차 취득세 감면, 자녀 세액공제, 차량구입 소득 감면
 ㅇ (국민연금 출산크레딧) 자녀 수에 따라 국민연금 가입기간 추가산정(최대 50개월, 2자녀 경우 12개월 추가, 3자녀의 경우 18개월 추가산정 등)
5. 귀하께서 제안하신 다자녀양육자의 공공기관 채용우대의 경우, 고용환경이 결혼,출산에 영향을 받는 청년층과의 공정성 등의 문제로 사회적 의견수렴이 필요한 사안으로 중장기검토가 필요합니다. 이에 귀하의 제안은 불채택함을 알려드립니다. 
6. 귀하의 가정에 평안과 행복이 깃드시길 바라며, 기타 문의사항이 있으신 경우 보건복지부 인구정책총괄과(044-202-3367) 또는 보건복지콜센터(국번없이 129)로 연락주시면 안내드리겠습니다. 감사합니다.</t>
  </si>
  <si>
    <t>저출산 고령사회 대책위원회 &gt; [ 행복출산 행복인생 지원 위원회 ] 로 명칭과 캠페인 방향을 바꾸세요.</t>
  </si>
  <si>
    <t>현상제시형 '저출산/고령화사회/위원회'에서
미래기대형 '행복출산/행복인생/지원/위원회'로 이름을 바꿀 것을 제안합니다.
안녕하세요? 인생 구조상 '출산'과 '고령'은 대척방향에 위치했습니다.
양단에 있는 현상을 동시에 해결하기란 쉽지 않지요.
그런 면에서 볼때, 
예전 곤궁한 우리사회에서의 '고려장'은
미래세대(출산과 양육)를 위한 사회문화적 선택의 결과였을 것입니다.
지금은 그것이
현재사회(=장수사회)를 위한 사회문화적 선택의 결과인 저출산으로 나타나는 것이겠지요.
이러한 사회적 현상을 그대로 객관적으로 드러내는 이름보다는
기대하는 방향성이 들어간 이름을 쓰는 것이 효과적이라고 생각합니다.
일례로, 고등학교 현장에서
학생A가 친구B에게 '자퇴'를 말하면
친구B는 바로 다음날 교사에게 '학생A, 언제 자퇴해요?'라고 묻습니다.
무의식중에 현상만을 말했을 뿐인데...긍정적인 방향으로 분위기를 전환하기가 어렵지요.
그래서 학년초부터 '자퇴'라는 단어를 친구들 사이에 드러내놓고 말하지 않기를 의식적으로 지도해보았습니다.
물론 교사에게 자퇴 상담은 얼마든지 허용하고요.
즉, 교실내에서 '자퇴'라는 말이 떠돌아다니지 않게 해 보았다는 것이지요.
역시 자퇴(=학업중단 예방)효과가 있었습니다.
이름이 인식을 지배하듯이
귀 위원회의 이름을 더 미래지향적인, 긍정적결과를 기대하는 이름으로 바꾸어
온 국민 캠페인에 활용하는 것은 어떨까 생각합니다.
어려운 일,
일선에서 담당하시느라 수고하십니다. ^^</t>
  </si>
  <si>
    <t>1. 안녕하십니까? 보건복지부 인구정책총괄과입니다. 귀하께서 국민신문고를 통해 신청하신 제안에 대한 검토 결과를 다음과 같이 알려드립니다.
2. 귀하께서는 현 저출산고령사회위원회의 미래지향적인 명칭변경을 건의하신 것으로 이해됩니다.
3. 저출산고령사회위원회는 저출산고령사회기본법 제23조에 따라 운영되는 정부위원회입니다. 위원회 명칭변경을 위해서는 법률개정이 필요하며, 정부위원회 명칭에 '행복' 같은 추상명사를 사용한 사례가 없기에 귀하께서 제안한 명칭도입을 위해서는 법개정시 사회적 합의가 선행되어야 할 것으로 판단됩니다.
4. 다시한번, 인구정책에 관심을 갖고 의견주심에 감사드리며, 귀하의 의견은 중장기검토 및 단순참조사항으로 판단하여 불채택 처리함을 알려드립니다.</t>
  </si>
  <si>
    <t>출생율 저하에 따른 대한민국 존립의 위기</t>
  </si>
  <si>
    <t>현 5200만명인 우리나라의 인구가 출생율 1.0%이하인 0.8%대로 떨어진 상태로 이대로 세월이 가면 돌이킬 수 없는 국가적 재앙이 닥칠 것입니다.
인구절벽이라고 하는 일본도 수년째 출생율 1.35%를 유지하고 있습니다만은 우리나라는 세계적으로도 최저 출생율로 나라의 존립자체가 불을 보듯 명확합니다.
재난은 밤에 도둑이 들듯이 갑자기 찾아옵니다. 모든 행정기관과 공무원 심지어 국민들도 인구절벽의 문제가 심각하다고 지식으로 알고 있지만 감정적으로 느끼지 못하고 있는것 같습니다.  일반국민이 체감으로 느꼈을 때는 이미 돌이킬 수 없는 상황에 처해서 회복할 수 없는 상태인 것이 인구절벽의 문제인 것입니다.
우리나라 출산율 저하의 근본적인 문제는 결국 "돈"입니다.  가임기의 여성및 배우자들이 모든 재원을 한자녀에게 집중 투자하여 최대의 아웃풋을 내려고 하는 것이 문제입니다.  또한 결혼을 하더라도 자녀를 키우지 않고 부부가 인생을 즐기면서 살려고 하는것입니다.</t>
  </si>
  <si>
    <t>자녀를 출산하여 양육하기 가능한 젊은 세대들에게 국가의 전폭적인 재원을 지원해야 합니다.
1. 여성가족부에서 출산율을 올리기 위한 사업에 사용되었던 자금을 직접 젊은 세대들에게 현금및 현금성 재원으로 지원이 이루어 져야 합니다.
2. 이러한 지원은 자녀가 성인이 될때까지 지속적으로 이루어 져야 안심하고 돈걱정없이 자녀를 출생하여 양육할 수 있다는 동기 부여가 될것입니다.
3. 자금재원을 마련하기 위해서는 정부의 의지가 가장 필요합니다.  나라의 안보에 필요한 국방비를 제외하면 출생율을 올리기 위한 재원은 국가의 존립을 결정하는 가장 큰 투자가 될것입니다. 복지및 사회인프라, 각종 정부의 예산보다 우선 중요한 것이 출생율을 올릴 수 있는 현금성 자금의 지급입니다.  이자금은 직접, 성년이 될때까지 지속적으로 지급이 되어야 합니다.
또한 그 정책은 우리나라 인구 출생율이 2.5%이상이 될때 까지 법으로 명문화 되어야 할 것입니다.
4. 직접 현금지원의 금액은 자녀 1명당 월 200만원이상, 2째부터는 월 300만원 3째는 월 500만원으로 할증으로 지급하여 3자녀양육시 월 1000만원이 지급받게 되면 부모의 입장에서는 돈 걱정없이 자녀를 훌륭한 환경에서 자녀를 양육할 수 있다는 안전감을 갖게 할 것입니다.
5. 소요 재원은 1년에 신생아 50만명 출생시 약 월 1조5000억원, 년 18조원. 70만명 출생시 월2조4500억원, 년 29조4000억원.
80만명 출생시 월3조2천억원, 연 38조4000억원을 예상합니다.
판단한다면 많은 예산이지만 우리나라 존립에 관련된 재원입니다. 그리고 이정도 자금은 우리나라 경제 규모로 충분히 감당가능합니다.</t>
  </si>
  <si>
    <t>모두가 알다시피 젊은 층의 인구가 늘어나면 기업, 사회, 문화, 등 모든 부분에서 활력이 충만하게 됩니다.
경제적인 성장도 무엇보다 확실합니다.  현재 국민연금및 의료보험등 모든 분야에서 발생하는 문제점이 출생율 저하로 인한 것들입니다.  이러한 모든 문제들이 해결되며 사회가 격동적이며 활기차며 도전하며 창의적인 사회가 될것입니다.
다시 당부드리지만 가임기의 여성및 자녀들에게 현금및 현금성 재원을 직접 지급하는 것으로 이러한 효과를 볼 수 있습니다. 그리고 정권이 바뀜에 따라 지원이 폐지되지 않도록 법적 제도적 장치가 필요합니다.
가장 중요한 포인트는 젊은 가정의 부부들이 안심하고 자녀를 많이낳아 키울 수 있는 환경을 조성하는 것입니다. 이것은 무엇보다도 현금의 직접적 지원이상의 것이 없습니다.  이 이후에 추가로 각종 세제 혜택등의 지원을 추가로 지원해 준다면 좋겠습니다.</t>
  </si>
  <si>
    <t>1. 안녕하십니까? 보건복지부 인구정책총괄과입니다. 귀하께서 국민신문고를 통해 신청하신 제안에 대한 검토 결과를 다음과 같이 알려드립니다.
2. 먼저 인구정책에 관심을 가지고 의견주심에 감사드립니다. 귀하께서는 저출산 해결을 위해 출생아동 1명당 월 200~300만원 수준의 현금직접 지원을 제안해주신 것으로 이해됩니다.
3. 정부는 제4차 저출산 고령사회 기본계획(2021-2025)에서 부모의 영아기 아동을 돌볼 권리를 보장해주고, ‘아이가 가족과 함께 하는 시간’을 보장할 수 있는 사회로 나아가기 위해, 양육부담을 완화하기 위해 아래와 같은 다양한 정책을 추진하고 있습니다.
 1) 첫만남꾸러미Ⅰ : 임신,출산 의료비 바우처 100만원 지원(‘22년부터 신청일 기준)
 2) 첫만남꾸러미Ⅱ : 출생시 아동당 200만원 지원 (’22년 출생아부터 지원)
 3) 아동수당 : 보육시설 이용여부 관계없이 만8세 미만 아동에 월 10만원 지원
 4) 영아수당 : 만0~1세 영아대상 보육시설 미이용시 월 30만원(’25년까지 단계적 50만원으로 확대) 또는 보육시설 이용 또는 아이돌봄 서비스 이용시 바우처 월 50만원 지원
   * 현행 가정양육수당과 보육료바우처를 통합한 수당으로 ’22년 출생아부터 적용
 5) 가정양육수당: 보육시설 미이용 만2~7세 아동에 월10만원 지원(‘22년 이전 출생아에 적용)
 6) 보육료지원 : 보육시설 이용 만0~1세 영아에 바우처로 월 50만원 지원, 만2~7세 아동에 월28~30만원 지원(’22년 이전 출생아에 적용)
※ 상위 제도는 자녀순서에 관계없이 모든 아동 1명에게 동일 지원
- 이 외에도 아동 진료비 본인부담률 인하, 고위험 임산부 의료비지원 대상 질환 확대 등 아이를 낳고 기르는데 필요한 의료비 부담을 완하하였으며, 고교 무상교육실시('19), 다자녀가구 셋째아래로 대학등록금 면제(첫째,둘째감면), 출산전후 휴가급여 인상, 육아휴직 급여 확대 및 특례적용 등의 양육부담 완화 정책을 대폭 확대하여 실시하고 있습니다.
4. 다만, 귀하께서 요청하신 수준의 금액의 경우 상당한 수준의 정부 재정 지출이 요구되는 사안으로 사회적 합의가 선행되어야 하는 등 신중한 검토가 필요한 사항으로 불채택함을 알려드립니다.
5. 앞으로도, 아이를 낳아 기르는 것이 삶의 어려움이 되지 않고, ‘함께 일하고, 함께 돌보는 사회’를 만들 수 있도록, 귀하께서 의견을 주신 3년의 유급 육아휴직, 아동양육가구 주거지원 등을 포함하여 효과성 높은 저출산정책 마련을 위해 관계부처 등과 지속적으로 소통하고 협력할 수 있도록 노력하겠습니다.
6. 귀하의 가정에 평안과 행복이 깃드시길 바라며, 기타 문의사항이 있으신 경우 보건복지부 인구정책총괄과(044-202-3367) 또는 보건복지콜센터(국번없이 129)로 연락주시면 안내드리겠습니다. 감사합니다.</t>
  </si>
  <si>
    <t>임산부 의료수급자에게도 임신출산 진료비를 소진할수 있도록 카드를 만들어주세요.</t>
  </si>
  <si>
    <t>Screenshot_20220524-190237_Tphone.jpgScreenshot_20220524-190224_Tphone.jpg</t>
  </si>
  <si>
    <t>현재 의료급여 임산부도 일반 임산부와 동일하게 임신출산진료비 100만원을 지급 받습니다. 그리고 올해부터 처방된 약제뿐만 아니라 모든 약제 및 의약외품까지 사용가능한 임신출산진료비를 의료급여자는 약국에서 일절 사용불가합니다.
국민행복카드가 있는 일반 임산부와 달리 의료급여 임산부는 시스템적으로만 차감되고 소비됩니다. 몇몇 산부인과(모르는 산부인과도 있음)에서는 시스템적 차감을 알지만 약국에서는 일절 모릅니다. 상급종합병원 근처에 위치한 약국조차 차감 및 사용법을 몰라 , 임신출산진료비를 약국에서는 아예 사용하지 못하고 있습니다. 
약국에서는 그런 시스템이 없다고 합니다. 하지만 구청이나 의료급여 정책과에서는 법적으로는 사용이 가능하다고 합니다. 하지만 정작 의료급여 임산부는 사용하지 못합니다. 의료급여 임산부들에게 임신출산지원금은 정부에서 금전적으로 지원해줘도 사용하지 못하는 무용지물입니다. 
임신성 당뇨 판정으로 인한 약국에서 사야하는 소모품은 사용하지 못하는 실정입니다. 
또한 병원에 가지 않는 이상 사용한 금액 확인도 불가하며 얼마 남았는지도 확인되지 않습니다.
지역 관할 생활과에서조차 사용법을 모르고, 국민건강보험공단에서조차 모른답니다. 좋은 제도지만 의료급여 임산부는 현실적으로 전혀 온전히 누릴 수 없습니다. 
의료급여 임산부들에게도 좋은 제도 온전히 누릴 수 있게 해주십시오.</t>
  </si>
  <si>
    <t>임산부 의료수급자에게도 임신출산 진료비를 소진할수 있도록 일반 임산부와 같은 실물 카드를 만들어주세요.</t>
  </si>
  <si>
    <t>1. 작은 동네 산부인과에서도 간편하게 처리할 수 있음.
2. 매번 약국에 갈때마다 , 구청 생활보장과에 전화해서 사용가능한 약국인지 확인할 필요없음.
3. 의료급여 임산부도 부끄럽지 않고 당당하게 진료비혜택을 누릴수 있음. 
4. 약국에서도 처리하기 쉬움.
5. 의료급여 임산부가 진료비 남은 금액, 쓴 금액을 스스로 확인 가능함.
6. 의료급여자 임산부가 극소수여서 모든 약국 및 병의원 시스템을 정비하거나 문의하지 않고 즉시 처리해도 됨.</t>
  </si>
  <si>
    <t>1. 안녕하십니까. 귀하께서 국민신문고를 통해 우리 부로 신청하신 제안(신청번호 1AB-2205-0014859)에 대해 다음과 같이 안내드립니다.
 가. 제안요지
  ○ 의료급여 수급자 임신?출산 비용 사용 관련
 나. 답변요지
  ○ 앞서 답변 드린 내용과 같이 의료급여 수급자는 병원에서 원외처방전을 발급 받은 후, 해당 약국에서는 처방전에 있는 진료확인번호를 약국시스템에 입력하여 임신출산진료비를 사용할 수 있으며,
    - 진료확인번호 확인과 관련하여 국민건강보험공단에서 운영하는 요양기관정보마당((https://medicare.nhis.or.kr)-공지사항- 의료급여 진료확인번호 등록 방법 및 기타사항(임신출산진료비차감방법 등)에서 안내하고 있습니다.
  ○ 다만, 귀하께서 말씀하신 바와 같이 약국 등 의료기관에서 방법을 숙지하지 못해 의료급여 수급권자가 임신?출산진료비를 사용 할 수 없는 일이 발생하지 않도록, 관련 협회 및 지자체 등에 안내? 협조공문을 시행하여 방법을 숙지할 수 있도록 하겠습니다.
2. 답변 내용에 대해 추가 설명이 필요한 경우 보건복지부 기초의료보장과(044-202-3099, 3086)으로 연락주시면 안내해 드리도록 하겠습니다. 감사합니다.  끝.</t>
  </si>
  <si>
    <t>여성 육아와 경력단절</t>
  </si>
  <si>
    <t>사회가 아무리 발달해도 여성이 출산을 해야 한다는 사실은 변하지 않고,  아이들이 만 4세까지 형성되는 모든 것은 평생 간다고 배웠고 경험했습니다_그래서 '세살버릇 여든까지 간다'했죠. 
그 시기에 아무리 남의 손에서 잘 자란다 해도 부모, 특히 엄마의 영향만큼 중요한 건 없다고 봅니다.
그럼에도 부모가 양육을 못하는 현실은 아이들의 정신적 문제까지 발생시키고 있다는 것을, 실제 현장에서 일하는 교사들의 말을 들어보면 알 수 있습니다.
꽤 다수의 여성들은 경력단절이 두려워 출산을 포기하는 사례도 있다고 들었습니다..
이런 현실을 지원금으로 해결하는 방법도 있겠지만 더 나아가 경력단절이 안되면서, 육아를 할 수 있는 현실이 중요하다고 봅니다..
최악의 출산율은 더욱 더 악화돼 막강해야 할 국력에도 영향을 미칠 수 있어 제안을 하고자 합니다..</t>
  </si>
  <si>
    <t>1. 부모와 떨어져 정신질환을 만들 수 있는 기관교육은 최소한으로 하고, 출산 후 최소 만 4년까지의 직접 육아를 지원하고, 해당 육아경력이 당당한 예우를 받아야 한다..
2. 부득이 기관교육이 필요하다면, 직장 근접거리에 기관이 있어 부나 모가 수시 접근 가능해야 한다..
3. 가정 육아의 소중함을 국민교육을 통해 전달되길 바란다..
4. 공공 부모교육기관이 있어 원하는 사람은 언제든지 부모교육을 받을 수 있게 한다..</t>
  </si>
  <si>
    <t>아이들의 미래는 어릴 때 부모의 손에 달렸다고 해도 과언이 아니다..
지금 출생한 아이들의 10년 뒤가 현재 10세 아이들의 모습이다..
요즘 초등생들의 행복지수가 너무 낮아 불쌍하다, 학업이 전부가 아닌 거 알면서도 부모들의 불안정서가 아이들을 힘들게 하고 있다..
현장서 일하는 교사및 전문가들의 의견들을 취합해서 개선한다면, 앞으로 아동들이 순수하고 밝게 자라 밝고 건강한 나라가 유지되는 현실이 가능 하다고 본다..</t>
  </si>
  <si>
    <t>1. 안녕하십니까. 보육정책에 관심을 가져 주셔서 감사드리며 귀하의 민원사항 '직장근거리 육아지원’에 대해 다음과 같이 회신드립니다.
2. 영유아보육법 제14조, 동법시행령 제20조에 따라 상시여성근로자 300명 이상 또는 상시근로자 500명 이상을 고용하고 있는 사업장은 직장어린이집을 설치하여야 하며, 다만 사업장의 사업주가 직장어린이집을 설치할 수 없을 때에는 지역의 어린이집과 위탁계약을 맺어 근로자 자녀의 보육을 지원하도록 하고 있습니다.
  - 또한, 동법시행규칙 제7조에 따라 사업주가 지역의 어린이집과 위탁계약을 체결할 때에는 동법 시행령 제25조에 따라 수탁보육중인 영유아 보육에 필요한 비용(연령별 정부보육료 지원단가)의 50% 이상을 부담하도록 하고 있습니다.
3. 근로자에 대한 보육지원으로 안정적인 고용 여건을 마련하고 일과 가정의 양립을 위하여 직장어린이집 설치 의무 제도를 규정하고 있음을 알려드립니다. 
4. 이밖에 궁금하신 사항이나 추가 질의가 있는 경우에는 보건복지부 보육정책과(044-202-3551, 3555)으로 연락주시면 답변드리겠습니다. 감사합니다. 
붙임  민원신청서 1부.  끝</t>
  </si>
  <si>
    <t>출산율을 높이는 방법</t>
  </si>
  <si>
    <t>현황:뉴스나 신문에서 우리나라의 출산율이 낮다는것과 우리나라 가임여성의 출산 인원이 세계최저인 0.9명이란걸 알고 있다.
우리나라 인구가 고령화는 늘지만 너무 빨리 감소하고 있다.
문제점: 결혼을 하지 않으려는 젊은이들이 많고 출산은 더더욱 하지 않고 있다.  원인으로 제일 중요한것이 육아와 높은 교육비용 일 것이다.
전반적인 문제를 표면에 놓고 의논을 하여 결혼과 출산을 독려해야 할 것이라 본다. 우선 편안하게 살고 육아 후에도 취업에 문제가 없도록 사회나 국가에서 많은 지원을 해야 한다. 최소 3년간은 혼인 후 출산이든 비혼 출산이든 낳은 아이를 제대로 키울 수 있게 지원을 하지 않는것이 문제가 된다.</t>
  </si>
  <si>
    <t>1.아이가 3살 될 동안 많은 지원으로 아이를 제대로 키울 수 있게 한다.
2.육아 후 아이를 키우면서 자립할 수 있게 탁아시설은 만든다.
3.이웃에 살고있는 어르신과 연계하여 아이를 돌볼 수 있는 시스템을 국가적으로 인정하여 만든다.
4.이웃이 함께 아이를 키운다는 마음으로 사회적 분위기를 만든다.
5.어린아이를 키우는분을 우대하여 모든것에 적용한다.
6.정기적인 출산과 육아 지원을 한다.(예, 월200만원을 3년동안 지원하고 확실한 모니터링한다.)</t>
  </si>
  <si>
    <t>1.사회 분위기가 좋아진다.
2.이웃과 더 친밀하며 사회적비용이 줄어든다.
3.어르신의 일자리가 확보되고 어른을 공경하는 분위기가 된다.
4.혼인, 비혼인을 가리지 않고 출산한 아이는 잘 키워야겠다는 마음을 갖는다.
5.아동을 상대로 한 가정폭력이 줄어든다.
6.일을 하는 엄마들의 마음도 편하고 아이도 잘 큰다.</t>
  </si>
  <si>
    <t>국민제안(1AB-2206-0029710)에 대해 다음과 같이 회신하고자 합니다.
- 다  음 -
1. 안녕하십니까? 규제개선 업무에 관심 가지고 제안해 주신 것에 감사드리며 검토한 결과를 다음과 같이 알려드립니다.
2. 귀하의 제안내용은 '공공보육 지원을 통한 출생률 제고'에 관한 것으로 이해되며, 이에 대한 검토 의견은 다음과 같습니다.
 ○ 보건복지부에서는 2027년까지 공공보육 이용률 60% 달성을 목표로 국공립어린이집 설치 국비 보조를 매년 550개소 규모로 추진 중입니다. 
  - 아울러, 영유아보육법 시행령 제19조2항에 의하여 500세대 이상의 공동주택에는 국공립어린이집 설치를 의무화하고 있습니다.
 ○ 국공립어린이집 확충은 신축, 매입, 리모델링 등 다양한 사업방식으로 추진 중이며, 장기임차를 통해 민간·가정어린이집을 국공립어린이집으로 전환하는 방식 또한 이루어지고 있습니다.
 ○ 또한, 영유아보육법 제14조에 따라 상시여성근로자 300명 이상 또는 상시근로자 500명 이상을 고용하고 있는 사업장에는 직장어린이집을 의무적으로 설치하도록 규정하고 있으며, 고용보험법 시행령 제24조 등에 의해 설치 및 운영비 지원이 이루어지고 있습니다.
 ○ 보건복지부에서는 지속적으로 공공보육을 확충하여 영유아 돌봄의 사회적 책임 강화를 위해 노력하겠습니다.
 2. 다시 한번 소중한 의견을 주신 것에 감사드리며, 이 밖에 문의사항이 있으실 경우, 보건복지부 보육정책과(044-202-3550) 및 보건복지콜센터(국번 없이 129번)로 문의하시기 바랍니다. 감사합니다.  끝.</t>
  </si>
  <si>
    <t>획기적인 출산장려책이라도 있어야 합니다</t>
  </si>
  <si>
    <t>인구절벽이라는 표현을 써가면서 출산율이 떨어지는것을 걱정하고 있습니다
하지만 출산을 할려면 산부인과의 출산비용에 조리원의 산후 기본회복기까지 비용이 대단합니다</t>
  </si>
  <si>
    <t>출산율을 걱정하기에 앞서 출산비용을 지원해주는 정부대책이 아쉽습니다
건강보험공단을 통하여 1차적으로 출산에 대한 직접비용을 획기적으로 공제해주는 대책이 아쉽습니다
암환자의 경우와 같이 환자에게 의료비의 5%를 부담하게 하는등의  획기적인 방안이 필요합니다
지자체별로 당근책으로 출산축하금을 지원한다지만 결국엔 모든것에 앞서 의료비 부담을 줄여주는 정책이 필요합니다</t>
  </si>
  <si>
    <t>현대사회에선 경제력이 모든것을 앞서고 있습니다
출산에 대한 획기적인 지원대책을 다시한번 검토해 주실것을 제안합니다</t>
  </si>
  <si>
    <t>1. 안녕하십니까? 귀하께서 국민신문고를 통해 신청하신 제안(1AB-2207-0000984)에 대하여 회신 드립니다.
2. 귀하의 민원내용은 "출산장려책 마련"에 관한 것으로 이해되며 출산정책과와 보험급여과에서 아래와 같이 답변을 드립니다.
 ○ 정부는 '함께 일하고 함께 돌보는 사회 구축'을 위해 「제4차 저출산고령사회 기본계획」을 수립·발표('20.12월)하였으며, 향후 5년간 추진할 중장기 계획의 핵심사업으로 출생·육아에 따른 경제적 부담 경감을 위해 영아기 집중투자(영아수당, 첫만남이용권(바우처), 임신출산의료비 확대 등) 사업을 추진하고 있으며, 이를 통해 출산·육아에 따른 경제적 부담을 경감할 수 있을 것으로 판단됩니다.
 ○ 건강보험은 국민들의 질병·부상 등에 대하여 보험급여를 실시함을 원칙으로 하되, 국민이 부담하는 보험료와 국고지원액을 재원으로 하는 건강보험제도에서 한정된 재원으로 최적의 건강보험급여를 하기 위해서는 국민의 부담수준, 국가의 재정여건 등을 고려하여 건강보험의 적용을 받는 급여 내용을 정하고 있습니다. 
  - 이에, 분만에 대한 제반 입원진료비(기본입원료, 분만료나 수술료, 투약, 검사 등)는 보험급여대상으로 인정하고 있으며, 건강보험진료비 중 80%를 공단에서 지원하고 본인이 20%를 부담하고 있습니다. 
  - 또한, 우리부에서는 저출산 문제를 해결하고, 출산을 장려하기 위하여 건강보험 지원을 확대하는 정책으로’05년 1월, 자연분만으로 인해 발생하는 건강보험 진료비(기본입원료, 분만료 및 산후처치료, 신생아기본입원료 및 관리 등) 및 미숙아에 대한 제반 입원진료(보육기;인큐베이터 사용, 검사, 투약, 치료 등) 중 본인부담률을 면제하고 있으며, ’16.년 7월부터 제왕절개분만 입원시 본인부담율을 당초 20%에서 5%로 경감 적용하고 있습니다. 
  - 아울러, 임신·출산과 관련된 의료비 부담 경감을 통해 주기적인 산전 진찰 등 건강한 태아를 분만할 수 있도록 「국민건강보험법」제50조(부가급여) 및 같은 법 시행령 제23조에 따라 임신·출산과 관련된 진료 및 처방된 약제·치료재료의 구입에 드는
비용을 지원(건강보험 임신·출산 진료비 지원)하고 있으니 참고하시기 바랍니다.
 ○ 우리부는 상기 본인부담금 경감 및 진료비 지원을 통해 환자의 실질적인 진료부담을 최소화 및 저출산문제를 해결하기 위하여 다양한 방법을 마련토록 할 것이며, 분만에 대하여 지속적으로 평가하고 관리함으로써 산모와 신생아, 나아가 국민의 건강이 향상되도록 노력하겠습니다.
2. 추가 문의사항은 보건복지 콜센터(129) 또는 출산정책과(044-202-3398), 보험급여과(분만 수가 관련(044-202-2741), 임신·출산 진료비 지원(044-202-2735)로 문의하여 주시기 바랍니다. 감사합니다. 끝.</t>
  </si>
  <si>
    <t>한국 3년 연속 출산율 세계꼴찌 보도 기사와 저출산 극복을 위한 획기적인 방안 특별제안</t>
  </si>
  <si>
    <t>저출산 위기 극복방안 특별제안.hwp</t>
  </si>
  <si>
    <t>자세한 내용은 아래 첨부파일 내용을 참조해 주시기 바랍니다.
감사합니다.</t>
  </si>
  <si>
    <t>상동</t>
  </si>
  <si>
    <t>1. 안녕하십니까? 보육정책에 관심을 가지고 의견주심에 감사드립니다.양육수당 지원단가 인상 관련 귀하께서 제안하신 사항에 대해 아래와 같이 답변드립니다.
 ○ 정부는 영유아의 건전한 보육을 위해, 영유아 부모의 선택에 따라 어린이집 이용 시에는 보육료를, 유치원 이용 시에는 유아학비를 지원하고 있습니다. 어린이집이나 유치원을 이용하지 않고 가정에서 양육 중인 영유아에 대해서는 양육수당(0~11개월 200천원, 12~23개월 월 150천원, 24~85개월 100천원)을 지원하고 있습니다. 
   ※ '22년 이후 출생아동에게 영아수당 지원(0~23개월 300천원), 24개월부터 양육수당지급
 ○ 위 지원 비용은 영유아 대상 적정 가정양육 비용분석·산출, 재정당국과의 협의 등 예산 확보 절차를 거쳐 지원되고 있습니다. 다만, 보육·양육 지원 정책은 필연적으로 한정된 국가 재정에서 예산을 확보해야 하는 문제를 수반하고, 지원 확대에는 많은 추가 예산이 소요되므로 귀하께서 제안하신 다자녀 출산 시 양육수당 차등 지원에 대해서는 국가의 재정 여건을 고려하고, 사회적 합의를 거치는 등 신중하게 검토해야 할 사항임을 양해해 주시기 바랍니다.
 ○ 다시 한번 귀하께서 주신 소중한 의견에 감사드립니다. 추가로 궁금하신 사항이 있으면 보건복지부 보건복지상담센터(국번없이 129) 또는 보육사업기획과(044-202-3561, 3567)로 연락주시기 바랍니다. 귀하의 가정에 평안과 행복이 깃들기를 기원합니다. 감사합니다.  끝.</t>
  </si>
  <si>
    <t>저출산문제, 난자 냉동 기술 보급으로 극복하자</t>
  </si>
  <si>
    <t>현재 우리나라는 심각한 저출산 국가이다.
이는 여러 이유가 있겠지만,
그 중 여성의 결혼연령 증가로 인한 이유로 
접근해보고자 한다.
여성의 초혼연령의 증가는
1990년대 24.8세에서 2017년 30.2세로 
급격하게 증가하였다
(https://www.joongang.co.kr/article/23794117)
여성이 나이가 듦에 따라 임신가능성은 급격하게 낮아진다. 이에 여성의 사회진출에 따라 현 상황에서는 
임신 및 출산은 낮아질 수 밖에 없다.
뉴스기사 본문 인용 및 링크
[ 강남차병원 산부인과 류상우 교수는 "여성의 가임력은 나이에 영향을 가장 많이 받는다"며 "여성은 평생 사용할 난자를 가지고 태어나며, 나이가 들수록 난소에 있는 난자의 수는 감소하고, 난자의 질은 계속 나빠진다"고 말했다. 일반적으로 20대 여성이 배란하는 난자는 10개 중 9개가 정상이고 35세가 지나면 10개 중 5개만 정상, 40세가 지나면 2~3개만 정상이다. 서울대병원 산부인과 김훈 교수는 "20대 중반 여성과 비교해 35세 여성은 3개월 내 임신 가능성이 절반 정도 밖에 되지 않는다"고 말했다.]
https://m.health.chosun.com/svc/news_view.html?contid=2017091901465
그리고 현재 난자 냉동 비용은 의료보험 비급여 항목이며, 최소 250만원~ 300만원정도가 들어서
해당 기술이 필요한 20대에게는 너무나도 큰 금액부담으로 쉽게 해당 시술을 받기 힘들다.
물론 냉동 기술로 보존된 난자가 
이후 해동했을 때 생존율은 50%~70%에 불과하지만,
이후 여성이 나이가 든 이후 시도하는 여러 방안중에
해당 방법이 있다면 없는 것보다 훨씬 나을 것이다.
(해당 기술이 보급된다면 해당 산업도 충분히 발전되고 단가도 싸질 수 있다고 생각한다)</t>
  </si>
  <si>
    <t>1) 냉동 난자 보급 시술을 의료보험이 적용될 수 있도록 확대한다.
2) 해당 시술이 남성의 정자 냉동 기술과 같이 진행될 수 있는 항목임을 홍보한다(남녀모두 해당됨을 안내)
3) 정책 홍보 시 주요 타겟인 20대 여성에게 해당 시술을 고려할 수 있는 방법이 되도록 홍보한다
(예시문구 : 내 건강, 내 아이 지금부터 살펴보자, 
질 초음파 무섭게만 생각하지 마세요! 미래의 내 아이 그리고 내 몸을 알아보는 중요한 진단도구 입니다 등)</t>
  </si>
  <si>
    <t>저출산의 극복
현재 저출산을 극복하는 방안으로는
난임수술비 지원(임신지원),
아이 출산 시 축하금 지원(생계지원),
돌봄교실 확대(양육지원)
등의 여러 방면으로 저출산 문제를 극복하려고
노력하고 있다고는 생각한다
하지만 좀 더 근원적인 방법에서
20대 때의 난자와 정자를 냉동보관해서
나중에 사회진출 후 결혼으로 이어졌을때,
나이듦에 대한 대비를 하지 못하여
아이를 갖지 못하는 부부들에게
한줄기 희망이 될 수 있기를 바란다.
해당 시술이 보급된다고 해서 젊은 세대의 사회진출시기가 더 늦어질 영향은 없다고 보인다.
오히려 초혼연령이 증가하는 젊은 부부들에게 
아이를 낳을 수 있는 방법 중 하나의 대안이 
이제는 과학기술로라도 보조되어야 한다고 생각한다</t>
  </si>
  <si>
    <t>1. 안녕하십니까? 귀하께서 국민신문고를 통해 신청하신 제안에 대한 검토 결과를 
   다음과 같이 안내드립니다.
2. 귀하의 제안내용은 "난자냉동 보관 비용에 대한 정부 지원을 요청"하신 것으로 
   이해됩니다.
3. 난자 냉동보관 비용 지원은 생식력 보존지원과 관련된 법적·의학적 근거, 정부지원 필요성에 대한 사회적 공감대 형성 및 논의, 소요예산 등을 종합적으로 고려하여 중장기적인 검토가 필요한 사안임을 양해하여 주시기 바라며, 귀하의 의견은 향후 관련 정책수립 시 함께 검토할 수 있도록 하겠습니다.
 4. 답변 내용에 대한 추가 설명이 필요한 경우 보건복지부 출산정책과(이지영 주무관, 044-202-3396)로 문의하시면 안내드리도록 하겠습니다.  감사합니다.  끝.</t>
  </si>
  <si>
    <t>한국의 비혼과 저출산해결은 비혼여성의 출산을 전방위적으로 정부가 적극 지원해야 해결됩니다.</t>
  </si>
  <si>
    <t>최악의 저출산 사회, 우리의 대응은 적절한가??
https://www.yna.co.kr/view/AKR20220224090300022</t>
  </si>
  <si>
    <t>국민은 '비혼 출산' 가능하다는데…법과 제도는 '가시덩굴'
https://www.hankookilbo.com/News/Read/A2020111909540002854
국민 30%, 미혼자 40% "비혼 출산 찬성"… 사유리 응원 이유 있었네
https://www.hankookilbo.com/News/Read/A2020111809370005969
통계청 2020년 사회조사 결과
"결혼하지 않고도 자녀 가질 수 있다" 31%
'비혼 임신' 후발주자 된 한국
가부장제 벗어나 출산 권리 널리 주는 여론 높지만
미혼여성 인공생식 시도 규정 없어 비혼출산 '불능'
사유리 논란 이어 동성커플 자녀, 대리모도 논쟁거리
여가부, 사유리처럼 여성 혼자서 아이 낳는 '비혼 출산' 정책 검토한다
결혼하지 않고 홀로 출산하는 비혼 단독 출산에 관한 사회적 논의가 본격적으로 시작된다.
https://www.insight.co.kr/news/335875
비혼여성이 출산시 정부가 아이를 20살 성인까지 전방위적 지원으로 키워주는 정부양육지원제도가 
대폭 강화되어야 합니다. 정부의 국가보육원 시설과 시스템을 대폭 확충하여 언제라도 아이를 맞길 수 있어야 합니다. 
서울에 사는 여성 3~4명 중 1명꼴로 결혼하지 않아도 아이를 가질 수 있다고 생각하는 것으로 나타났다. 3일 서울시가 발표한 '2021년 성인지 통계: 통계로 보는 서울 여성'에 따르면 서울에 사는 여성 28.1%가 '결혼하지 않고도 자녀를 가질 수 있다'고 답했다. 서울 여성 28% "결혼 안 해도 아이 가질 수 있다"
https://www.nocutnews.co.kr/news/5699721#:~:text=%EC%84%9C%EC%9A%B8%EC%97%90%20%EC%82%AC%EB%8A%94%20%EC%97%AC%EC%84%B1%203~4%EB%AA%85%20%EC%A4%91%201%EB%AA%85%EA%BC%B4%EB%A1%9C%20%EA%B2%B0%ED%98%BC%ED%95%98%EC%A7%80%20%EC%95%8A%EC%95%84%EB%8F%84,28.1%25%EA%B0%80%20%27%EA%B2%B0%ED%98%BC%ED%95%98%EC%A7%80%20%EC%95%8A%EA%B3%A0%EB%8F%84%20%EC%9E%90%EB%85%80%EB%A5%BC%20%EA%B0%80%EC%A7%88%20%EC%88%98%20%EC%9E%88%EB%8B%A4%27%EA%B3%A0%20%EB%8B%B5%ED%96%88%EB%8B%A4.</t>
  </si>
  <si>
    <t>출생아 수 대폭 상승!! 인구 대폭 증가!!</t>
  </si>
  <si>
    <t>접수번호 1AB-2208-0014132에 대해 아래와 같이 회신하고자 합니다.
- 아 래 -
1. 안녕하세요. 보육정책에 관심을 가져 주셔서 감사드리며 제기하신 제안에 대하여 아래와 같이 안내드립니다.
2. 귀하의 민원내용은 "비혼가정 영유아 보육을 위한 보육시설 확충 필요"에 대한 내용으로 이해됩니다.
3. 귀하의 질의사항을 검토한 결과 다음과 같이 안내드립니다.
 ○ 국가가 보육을 전담할 수 있는 시설을 확대 운영해야 한다는 귀하의 의견에 공감하는 바이며, 우리부에서는 부모 선호도가 높은 국공립어린이집 설치를 지원하여 공공보육 인프라를 확충하고 양질의 보육서비스 기반 조성을 추진하고 있습니다.
 ○ 이와 관련하여, 공공보육 이용률 지속 확대를 국정과제 46번에 포함하고, 지자체가 신축, 기존 시설 리모델링 및 매입, 장기임차 등 다양한 방식으로 국공립어린이집을 설치할 수 있도록 제도개선 및 예산 등을 지원하고 있습니다.
   - 특히, 국공립어린이집 신축이 어려운 지역에서는 기존 민간시설을 매입하거나 장기임차 및 리모델링비 등 지원을 통해 국공립으로 전환하도록 하고 있습니다.
 ○ 어린이집의 공공성 향상을 위해 국공립어린이집 확충을 지속 추진하겠습니다.
4. 이밖에 궁금하신 사항이나 추가 질의가 있는 경우에는 보건복지부 보육정책과(권순우 주무관, 044-202-3542) 및 보건복지상담센터(국번없이 129번)로 연락주시면 안내해 드리도록 하겠습니다. 감사합니다. 
붙임  민원신청서 1부.  끝.</t>
  </si>
  <si>
    <t>청년들의 아이 출산 문제에 대해서</t>
  </si>
  <si>
    <t>방금 내년부터 부모급여가 실시된다는 기사를
보았습니다. 아이를 키우는 것에 도움이 되는
정책을 고민하시고 만들어 주신것에 대해
저도 한 아이의 부모로서 감사하게 생각합니다.
하지만 정착 방향이 잘못됬다고 생각합니다.
저한명 얘기하는 것을 대통령님이 보실지는
모르겠지만 이 답답한 마음 어디 내놓을대가
없어 의견이라도 내보는 심정으로 적습니다.
아이를 낳아 키워보니 왜 힘든지 알것같습니다.
아이는 너무 이쁘고 이쁘고 또 이쁘지만
남편 혼자 일하면서 둘째 셋째 가지기란
말이 안됩니다. 우리나라 최저시급 아시는
분들은 더 잘 이해하실겁니다.
현실적으로 아이를 낳으면 금수저 건물주
재벌 전문직이 아닌 이상에야 맞벌이가
필수인 시대입니다.
현재 저의 아이는 어린이집에 다니는데
가정어린이집은 4시면 찾아기길 원하고
7시30분 연장 반까지 해도 눈치가 보며
일찍 찾아갑니다. 그래도 어찌 찾아보면
7시 반까지 찾을수 있으면 좋지요
하지만 공휴일(빨간날) 주말 여름방학
겨울방학 아이 아플때 기타등 수많은 사유로
아이가 어린이집을 갈 수 없을때 
맡길 수 있는 곳이 전무합니다...
특히 주말에 일하는 서비스집의 경우는
어쩌라는건지 답답합니다..
옛날이야 할머니 할아버지가 같이
도와주던 시절이지만 핵가족화가 된
현실에 도와주는 사람은 없습니다...
돈이 아닌 돌봐줄 사람을 좀 해주세요
현재 영유아 돌봄서비스는 최저시급 받는
분들만 이용하라는건지 유형별로 하면
매달 100씩 내라는건지.. 휴
제발좀 실효성있는 정책을 내주세요...
유투브  댓글좀 보세요 저랑 생각이
같으신 분이 셀수가 없이 많아요
청년의 얘기좀 제발 귀기울여 들어서
정책을 만들어주세요ㅜㅜ 
한국의 미래를위해 부탁드립니다..
어떻게</t>
  </si>
  <si>
    <t>매달 돈을 주시는것 보다 아이 맡길수
있는곳을 늘려주시고 육아 119처럼 긴급한
일이 생길때 24시간 믿고 맡길수 있는곳을
운영해주세요 주말에 문 닫는곳 말구요...</t>
  </si>
  <si>
    <t>저 정책만 생긴다면 저도 맞벌이하면서
둘째 낳을 수 있겠다 생걱이 드는데
다른 청년분들도 같은 생각이 드실겁니다.</t>
  </si>
  <si>
    <t>1. 안녕하십니까? 귀하께서 보건복지부 업무와 관련하여 제안하신 사항에 대해 안내드립니다.
2. 귀하의 제안 내용은 '그 밖의 연장형 어린이집 운영'에 관한 것으로 이해 됩니다. 
3. 귀하의 제안에 대해 검토한 의견은 다음과 같습니다.
 가. 어린이집 기본보육 시간은 9:00~16:00이며,
   - 기본보육 시간 이외에도 부모의 맞벌이 등을 이유로 보육이 필요한 아이들을 위하여 연장·야간연장보육을 실시하고 있습니다.(연장보육 시간은 16:00~19:30까지,
야간연장보육 시간은 19:30~24:00까지)
 나. 또한 24시간 보육 또는 휴일 보육이 필요한 아동을 위하여 24시간 및 휴일 어린이집을 지정·운영하고 있음을 알려드립니다.
 다. 제도 개선을 위한 귀하의 제안에 감사드리며, 귀하께서 보내주신 의견은 향후 어린이집 운영 개선 등 보육정책 수립에 소중한 참고자료로 활용하도록 하겠습니다.
4. 추가 문의는 보건복지상담센터(☏국번없이 129) 또는 보육기반과(☏044-202-3582)로 연락주시면 친절히 안내해 드리도록 하겠습니다. 감사합니다. 끝.</t>
  </si>
  <si>
    <t>저출산 위기에 대한 현실적인 지원을 제안합니다.</t>
  </si>
  <si>
    <t>현재 저출산으로 인한 인구 급감에 대한 우려가 큽니다. 그로 인한 부정적인 영향이 사회 전반적으로 미칠 것으로 예상되는 바 현재 저출산에 대한 현실적인 대안이 매우 부족한 것 같습니다. 150조가 넘는 예산을 쏟아 붓고도 오히려 출산율은 더 낮아지는 현상은 모든 국민들을 허탈하게 만들고 분노하게 합니다. 단순히 출산 지원에 대한 것 만으로는 어림도 없습니다. 
그간 저출산에 쓴 예산 150조를 출산인원으로 나눠보면 출산 1인 당 1억 원 씩 지원을 했다고 해도 단순 계산으로 150만 명에게 줄 수 있는 엄청난 예산인데 어떻게 쓰였는지 효과가 없는 정도가 아니라 오히려 역효과를 보고 있는 것이 현실입니다. 그렇다고 무조건 출산 1인 당 1억 원 씩 지원한다는 것은 사회 내 여러 부작용의 우려가 매우 클 것이라 생각합니다. 
저는 4명의 자녀를 키우는 한 사람의 사회인으로서 보건대 현재 아이를 키우고 있는 사람들의 힘겨움이 해결되지 않고는 결코 나아지지 않을 것이라 생각합니다. 사회가 그들을 바라보고 있고 그 어려움을 함께 보고 있으며 신혼 부부나 청년 세대가 그 모습을 지켜보고 있기 때문에 그 문제가 각자의 피부에 와 닿을 것입니다. 따라서 아래와 같이 제안합니다.</t>
  </si>
  <si>
    <t>최소한 한 가정에 2명 이상의 자녀가 있기를 기대하면서 아래와 같이 제안해 봅니다. 
1. 현재 만 18세 이하 미성년 자녀 2명을 키우고 있는 가정
    3000만 원 정액 지원(현재 양육가정은 일시금 지원, 임신부인 경우 둘째 출산 시 일시 지원 혹은 12개월 내 지원)
2. 현재 만 18세 이하 미성년 자녀 3명 이상을 키우고 있는 가정
    5000만 원 정액 지원(상기 동일)
양육비를 아동수당 형식으로 매월 10만원, 20만원씩 지원하는 것도 좋고 도움이 되는 것이지만 크게 와 닿지 않을 뿐 아니라 아이를 키우다 보면 목돈이 들어가는 일들이 다반사이기에 크게 효과가 없는 것입니다. 현실적으로 도움이 될 만큼의 지원이 되지 않는 이상, 또 사회가 그것을 눈으로 확인하며 안도하지 않는 이상은 아무리 쏟아부어도 밑빠진 독에 물붓기 격이 되고 말 것입니다.</t>
  </si>
  <si>
    <t>현재 미성년 자녀를 2명 이상 둔 가정의 실태조사를 해 보면 생각보다 그리 많지 않을 것입니다. 
큰 지원은 아니지만 위의 수준에서 지원을 하게 된다면 한 명의 자녀를 둔 가정이나 무자녀 가정에서도 매우 긍정적인 결과들이 나오리라 생각합니다. 
현재 아이를 양육하고 있는 가정들은 대부분 식비, 양육비, 교육비 등의 문제로 근근이 살아가고 있습니다. 위의 제안처럼 지원한다면 지원금의 거의 대부분이 아이들을 위한 여러 모양으로 지출될 것이므로 경제 활성화에도 큰 도움이 될 것입니다.</t>
  </si>
  <si>
    <t>1. 안녕하십니까. 보육, 아동정책에 관심을 가져 주셔서 감사드리며, 귀하께서 국민신문고로 제기하신 국민제안(1AB-2208-0023927)에 대한 검토 결과를 안내드립니다.
 ○ 정부는 영유아의 건전한 보육을 위해, 영유아 부모의 선택에 따라 어린이집 이용 시에는 보육료를, 유치원 이용 시에는 유아학비를 지원하고 있습니다. 어린이집이나 유치원을 이용하지 않고 가정에서 양육 중인 영유아에 대해서는 양육수당(0~11개월 200천원, 12~23개월 월 150천원, 24~85개월 100천원)을 매월 지원하고 있습니다. 
   ※ 2022.1월 이후 출생아동에게 영아수당 지원(0~23개월 300천원)
 ○ 위 지원 비용은 영유아 대상 적정 가정양육 비용분석·산출, 재정당국과의 협의 등 예산 확보 절차를 거쳐 지원되고 있습니다. 다만, 보육·양육 지원 정책은 한정된 국가 재정에서 예산을 확보해야 하는 문제를 필연적으로 수반하고, 지원 확대에는 많은 추가 예산이 소요되므로 귀하께서 제안하신 양육수당 인상에 대해서는 국가의 재정 여건을 고려하고, 사회적 합의를 거치는 등 신중 검토해야 할 사항임을 양해해 주시기 바랍니다.
 ○ 다시 한번 귀하께서 주신 소중한 의견에 감사드립니다. 추가로 궁금하신 사항이 있으면 보건복지부 보건복지상담센터(국번없이 129), 보육사업기획과(044-202-3567)로 연락주시기 바랍니다. 귀하의 가정에 평안과 행복이 깃들기를 기원합니다. 감사합니다.  끝.</t>
  </si>
  <si>
    <t>다자녀 혜택을 3자녀 -&gt; 2자녀로 변경하면 출산율 증가 기대</t>
  </si>
  <si>
    <t>현재 3자녀 가정에 크지는 않지만 정부 혹은 지자체에서 제공하는 혜택들이 있습니다. 
하지만 3자녀를 생각해볼 수 있는 가정은 2자녀를 가진 부모들이고, 
3자녀를 키우기에는 많은 제약 사항이 있습니다. 
터울을 적게 둘은 키웠으나 하나 더 낳기는 어려운 현실이죠, 
국민주택 규모에서 아이 셋을 키우기도 쉽지 않구요.
한 마디로 정책의 수혜가 있더라도 3자녀를 생각하기에는 진입장벽이 너무 큽니다.</t>
  </si>
  <si>
    <t>반면 결혼을 생각하는 연인이나, 신혼부부에 있어 2자녀는 충분히 고려할 만한 숫자입니다. 
하나를 낳고 나면 "하나 더?" 를 생각하게 됩니다.  
경제적 부담이 좀 되지만 아이가 외로울까봐 둘은 고민할 수 있는데요, 
이 때 나라에서 다자녀 혜택을 준다면 정책의 효과가 꽤 있을 것으로 기대됩니다.</t>
  </si>
  <si>
    <t>단 한 명의 출산이 소중한 이 시기입니다. 
세 자녀는 진입장벽이 너무 커서 남 얘기로 들립니다. 
두 자녀를 다자녀로 인정하게 되면 현실적인 내 얘기로 듣는 국민이 많을 겁니다. 
싱글세라는 부정적(패널티)인 과세보다, 
두 자녀를 다자녀로 인정해서 혜택을 많이 주면 어떨까요?</t>
  </si>
  <si>
    <t>1. 안녕하십니까? 보건복지부 인구정책총괄과입니다. 귀하께서 국민신문고를 통해 신청하신 민원에 대해 저출산고령사회위원회에서 검토한 결과를 다음과 같이 전달드립니다.
2. 귀하께서는 다자녀 지원기준을 3자녀에서 2자녀로 변경할 것을 건의하신 것으로 이해됩니다.
3. 정부는 제4차 저출산·고령사회 기본계획에서 다자녀지원기준 완화(3자녀 이상→ 2자녀) 방향 제시, 2자녀까지 다자녀 주거지원 및 국가장학금 확대 정책 발표(‘20.12.)한 바 있습니다.
4. 이후 주요 중앙부처 중심의 협의회 구성*, 범부처 차원의 논의를 거쳐 생활밀착형 정책 개발 추진(‘21.1.~9.), 「다자녀 지원강화 방안」발표(‘21.9.) 및 이행사항 점검 중**에 있습니다.
     * 복지부, 교육부, 국토부, 행안부, 여가부, 문화부, 산업부 등(11개 부처 40여개 과제)
    ** 단기 주요 추진과제(’21~‘22)로 발표한 10대 과제의 이행사항 점검(반기별)
5. 2022년부터 중앙부처를 우선하여 구성운영중인 '다자녀가구 지원 협의회'를 지자체까지 확대하여 다자녀 지원사업 협의 및 발굴 예정으로, 특히 제4차 기본계획 과제의 일환으로 다자녀지원 기준을 3자녀에서 2자녀로 개선할 수 있는 지역 특성반영 사업 발굴을 추진중에 있습니다.
     ※ 17개 시도 지방자치단체 다자녀 지원사업 현황 및 개선과제 조사 중(‘22.9)
6. 이에 귀하의 제안은 기시행중인 사안으로 불채택 처리함을 알려드립니다. 귀하의 가정에 평안과 행복이 깃드시길 바라며, 기타 문의사항이 있으신 경우 저출산고령사회위원회 평등권리과(☏ 02-2100-1224)로 문의주시기 바랍니다. 끝.</t>
  </si>
  <si>
    <t>출산장려와 노인복지에 연관하여</t>
  </si>
  <si>
    <t>자녀 출산 장려와 노인복지에 연관하여 제언합니다
우리나라는 현재 출산 저하로 국가의 장래가 심히 어려운 상태에 도래 했다고 생각됩니다.그래서 출산 장려를 여러 가지 방법으로 하고 있으나 그런 노력에도 효과는 미비한 상태라고 판단됩니다.
아울러 노인복지 정책에 관하여 수급자들을 보면 생활이 어려운 노인들 중 수급자가 되려면 자식이 없어야 가능한 것으로 젊어서 자식을 생산하려고 노력해도 안되는 사람들은 제외하고는 자식을 낳지 않고 본인들 삶에만 만족하며 살아온 사람들이 대부분 일텐데 그런 사람들은 노후에 국가로부터 엄청난 혜택을 받고 있으나 젊어서 결혼하여 가정을 이루고 자식들을 낳아 길러 장성시켜 그 자녀들이 국가를 지키는 국방의 의무를 다하고 경제 활동을 해서 국가에 세금을 내어 수급자들을 위해 사용되도록 하고 있으나 자신들의 부모는 아무런 혜택을 보지 못하는 형국입니다.
그러니 주택, 교육, 결혼.....등등 여러 가지 어려운 일들이 산재해 있고 그렇게 자녀를 낳고 길러 장성 시키느라 자신을 돌보지도 못하고 노후가 된 노인들은 국가로부터 외면을 당하고 있으니 미래에 자신에게 닥칠 현실을 지금 시대들 통해 보고 듣고 살면서 자녀들을 낳고 싶은 마음은 사라지고 말 것이라 생각합니다.</t>
  </si>
  <si>
    <t>무자녀 노인들을 국가가 보호하고 수급자로 책임져 주는 것은 마땅하다 할 것이나 자녀들을 낳아 기른 부모들에게 노후에 국가가 다른 측면에서 도움을 주는 노인복지 장치가 마련되어야 한다고 생각합니다.
출산 장려를 위해 국가 정책을 입안하면서 이러한 점들도 꼭 한번 검토해 주시면 좋겠다고 생각되어 제언합니다. 
예를 들어 자녀가 있는 부모들이 노후가 되어 빈곤에 처했을 때는 국가가 자녀가 있어도 수급자가 될 수 있는 공식적인 길을 열어둔다든지 아니면 자녀 한사람 출산 할 때마다 노후에 연금을 얼마 정도 정해진 금액을 국가가 노령 연금으로 지급을 해준다든지 여러가지 방안이 있을 것이라 생각합니다
수급자들은 주택, 수급비, 병원비, 노후 요양원비, 사후 장례비 까지 국가가 거의 전액 보전을 해주고 있는데
그런 것에 걸맞는 대우를 "자녀를 낳아 기르는 사람이 죄인이 아니고 국가의 충신이요 애국자다" 하는 분위기가 되도록 하면 좋겠습니다</t>
  </si>
  <si>
    <t>출산 장려가 어느 것 한 가지를 개선 해서 될일은 아니지만 조금은 영향을 줄 수 있을 것이라 생각됩니다</t>
  </si>
  <si>
    <t>1. 안녕하십니까? 보건복지부 인구정책총괄과입니다. 귀하께서 국민신문고를 통해 신청하신 제안에 대한 검토 결과를 다음과 같이 알려드립니다.
2. 귀하께서는 국가의 노후준비 보장을 통한 출산가능 환경 마련을 건의하신 것으로 이해됩니다.
3. 자녀양육에 소요되는 비용부담으로 출산을 기피한다는 귀하의 지적에 공감하며, 이에 정부는 자녀양육에 소요되는 경제적부담을 완화하기 위해 아래와 같은 다양한 정책을 추진하고 있습니다.
 1) 첫만남꾸러미Ⅰ : 임신,출산 의료비 바우처 100만원 지원('22년부터)
 2) 첫만남꾸러미Ⅱ : 출생시 아동당 200만원 지원 ('22년 출생아부터 지원)
 3) 아동수당 : 보육시설 이용여부 관계없이 만8세 미만 아동에 월 10만원 지원
 4) 영아수당 : 만0~1세 영아대상 보육시설 미이용시 월 30만원('25년까지 단계적 50만원으로 확대) 또는 보육시설 이용 또는 아이돌봄 서비스 이용시 바우처 월 50만원 지원
   * 현행 가정양육수당과 보육료바우처를 통합한 수당으로 '22년 출생아부터 적용
 5) 가정양육수당: 보육시설 미이용 만2~7세 아동에 월10만원 지원('22년 이전 출생아에 적용)
 6) 보육료지원 : 보육시설 이용 만0~1세 영아에 바우처로 월 50만원 지원, 만2~7세 아동에 월28~30만원 지원('22년 이전 출생아에 적용)
※ 상위 제도는 자녀순서에 관계없이 모든 아동 1명에게 동일 지원
- 이 외에도 아동 진료비 본인부담률 인하, 고위험 임산부 의료비지원 대상 질환 확대 등 아이를 낳고 기르는데 필요한 의료비 부담을 완화하였으며, 무상 보육·유아교육, 초중고 무상교육실시('19), 다자녀가구 셋째이후로 대학등록금 면제(첫째,둘째는 감면), 출산전후 휴가급여 인상, 육아휴직 급여 확대(통상임금의 80%, 최대 월 150만원) 및 특례적용(출산1년이내 부모모두 육아휴직시 부모각각에 최대 200만원 3개월 지급)등의 양육부담 완화 정책을 대폭 확대하여 실시하고 있습니다.
4. 노후보장 강화 필요성에 대한 귀하의 의견에 공감하며, 정부는 노후소득 보장강화를 위해 자녀 수에 따라 국민연금 가입기간 추가산정(최대 50개월, 2자녀 경우 12
개월 추가, 3자녀의 경우 18개월 추가산정 등)하는 국민연금 출산크레딧 제도, 자녀의 소득과 재산과 무관하게 65세 이상 본인 및 배우자의 재산과 소득을 기준으로
계산한 소득인정액이 선정기준액(`22년 기준 : 단독가구 180만원, 부부가구 288만원)이하인 경우 지급하는 기초연금제도, 생계급여 부양의무자 기준폐지('21) 등을 추진하고 있습니다.
 - 다만 제안하신 자녀 출산에 따라 기초연금을 차등 지급하자는 의견에 대하여는 국민적 합의, 국가의 재정사항 등을 고려하여 국회 입법 및 사회적 논의가 필요한 사항임을 알려드립니다.
5. 이에 귀하의 제안은 국회내 논의를 거쳐 예산확보가 수반되는 사안으로 불채택 처리함을 알려드립니다. 귀하의 가정에 평안과 행복이 깃드시길 바라며, 기타 문의사항이 있으신 경우 보건복지부 인구정책총괄과(044-202-3367) 또는 보건복지콜센터(국번없이 129)로 연락주시면 안내드리겠습니다. 감사합니다.  끝.</t>
  </si>
  <si>
    <t>저출산대책 제안</t>
  </si>
  <si>
    <t>현재 수백조의 예산을 투입하였으나 효과 전혀 없습니다.
현재 젊은층 위주의 저출산에만 올인함</t>
  </si>
  <si>
    <t>기성세대의 가족수에따라 가족수당을 지급한다.
                1인당:100만원
             자녀5人:5*100만원=500만원
기성세대국민들께 가족수당을 지급하므로서 자연스럽게 젊은층으로 확산되지않을까요?</t>
  </si>
  <si>
    <t>자연스러운 출산대책
효율적인 예산운영</t>
  </si>
  <si>
    <t>1. 안녕하십니까? 보건복지부 인구정책총괄과입니다. 귀하께서 국민신문고를 통해 신청하신 제안에 대한 검토 결과를 다음과 같이 알려드립니다.
2. 귀하께서는 저출산대책으로 자녀수에 따른 가족수당 지급을 건의하신 것으로 이해됩닌다.
3. 정부는 제4차 저출산 고령사회 기본계획(2021-2025)에서 부모의 영아기 아동을 돌볼 권리를 보장해주고, '아이가 가족과 함께 하는 시간'을 보장할 수 있는 사회로 나아가기 위해, 양육부담을 완화하기 위해 아래와 같은 다양한 정책을 추진하고 있습니다.
 1) 첫만남꾸러미Ⅰ : 임신,출산 의료비 바우처 100만원 지원('22년부터)
 2) 첫만남꾸러미Ⅱ : 출생시 아동 당 200만원 지원 ('22년 출생아부터 지원)
 3) 아동수당 : 보육시설 이용여부 관계없이 만8세 미만 아동에 월 10만원 지원
 4) 영아수당 : 만 0~1세 영아대상 보육시설 미이용시 월 30만원('25년까지 단계적 50만원으로 확대) 또는 보육시설 이용 또는 아이돌봄 서비스 이용시 바우처 월 50만원 지원
   * 현행 가정양육수당과 보육료바우처를 통합한 수당으로 '22년 출생아부터 적용
 5) 가정양육수당: 보육시설 미이용 만 2~7세 아동에 월 10만원 지원('22년 이전 출생아에 적용)
 6) 보육료지원 : 보육시설 이용 만 0~1세 영아에 바우처로 월 50만원 지원, 만2~7세 아동에 월 28~30만원 지원('22년 이전 출생아에 적용)
※ 상기 제도는 자녀순서에 관계없이 모든 아동 1명에게 동일 지원
- 이 외에도 아동 진료비 본인부담률 인하, 고위험 임산부 의료비지원 대상 질환 확대 등 아이를 낳고 기르는데 필요한 의료비 부담을 완화하였으며, 무상 보육·유아교육, 초중고 무상교육실시('19), 다자녀가구 셋째이후로 대학등록금 면제(첫째,둘째는 감면), 출산전후 휴가급여 인상, 육아휴직 급여 확대(통상임금의 80%, 최대 월 150만원) 및 특례적용(출산 1년 이내 부모 모두 육아휴직시 부모 각각에 최대 300만원 지급)등의 양육부담 완화 정책을 대폭 확대하여 실시하고 있습니다.
4. 다만, 정부재원이 한정되어 있어, 아동의 생애초기에 우선적인 지원이 이루어 지고 있으며, 귀하께서 요청하신 수준의 금액지원을 위해서는 상당수준의 정부 재정지출이 요구되는 사안으로 사회적 합의가 선행 되어야 하는 등 신중한 검토가 필요하여 불채택함을 알려드립니다.
5. 귀하의 가정에 평안과 행복이 깃드시길 바라며, 기타 문의사항이 있으신 경우 보건복지부 인구정책총괄과(044-202-3367) 또는 보건복지콜센터(국번없이 129)로 연락주시면 안내드리겠습니다. 끝.</t>
  </si>
  <si>
    <t>출산율 개선을 위한 방법론 제기</t>
  </si>
  <si>
    <t>전세계 최저 출산율 대책</t>
  </si>
  <si>
    <t>[현황분석]
- 21년 신생아수: 260,500명 (比 -4.3% 감소)
- 21년 저소득층: 28.4%
[벤치마킹 해외사례]
- 헝가리 세계 최대 출산율 전환
- 자녀수당 국가대출 및 자녀수에 따라 국가채무 전환
[국내적용 시뮬레이션]
- 대상모수: 73,982가구 (저소득층 출산가정 기준)
- 지급비용: 1가구당 1억원
- 상계방식: 1자녀 원리금 상환없이 이자상환
               2자녀 원리금 5000만원 공제
               3자녀 원리금 5000만원 공제
- 투자비용: 지급대상 전체가구 中 50% 신청기준 예산집행비용
               3.6조 (3,699,100,000,000)</t>
  </si>
  <si>
    <t>기대효과: 출산율 개선</t>
  </si>
  <si>
    <t>1. 안녕하십니까? 보건복지부 인구정책총괄과입니다. 국민신문고 국민제안으로 신청된 귀하의 제안의 검토결과를 아래와 같이 안내드립니다.
2. 귀하께서는 무이자 1억 대출 및 출산자녀 수에 따라 대출금액 탕감을 건의하신 것으로 이해됩니다.
3. 저출산 극복을 위한 귀하의 정책제안은 재정소요가 큰 새로운 정책제안인 바, 기존 수당과의 관계, 지원정책에 효과성 등에 대한 연구, 관련부처와의 협의 및 사회적 의견수렴 등 신중한 검토가 필요한 사항으로 판단됩니다.
4. 귀하의 제안과 같이 출산, 양육에 대한 경제적 부담완화를 위해 정부는 아래와 같은 다양한 정책을 추진하고 있음을 알려드립니다. 
 1) 첫만남꾸러미Ⅰ : 임신,출산 의료비 바우처 100만원 지원('22년부터)
 2) 첫만남꾸러미Ⅱ : 출생시 아동당 200만원 지원 ('22년 출생아부터 지원)
 3) 아동수당 : 보육시설 이용여부 관계없이 만8세 미만 아동에 월 10만원 지원
 4) 영아수당 : 만0~1세 영아대상 보육시설 미이용시 월 30만원('25년까지 단계적 50만원으로 확대) 또는 보육시설 이용 또는 아이돌봄 서비스 이용시 바우처 월 50만원 지원
   * 현행 가정양육수당과 보육료바우처를 통합한 수당으로 '22년 출생아부터 적용하며, '23년부터는 만0세 영아대상 보육시설 미이용시 월 70만원 지원하는 부모급여로 변경
 5) 가정양육수당: 보육시설 미이용 만2~7세 아동에 월10만원 지원('22년 이전 출생아에 적용)
 6) 보육료지원 : 보육시설 이용 아동에 시설이용료 바우처 지원('22년 이전 출생아에 적용)
※ 상기 제도는 자녀순서 및 소득수준에 관계없이 모든 아동 1명에게 동일 지원
5. 이 외에도 아동 진료비 본인부담률 인하, 고위험 임산부 의료비지원 대상 질환 확대 등 아이를 낳고 기르는데 필요한 의료비 부담을 완화하였으며, 무상 보육·유아교육, 초중고 무상교육실시('21년 이후로 전면실시)), 기준중위소득 200% 이하 다자녀가구 셋째이후로 대학등록금 면제(첫째,둘째는 감면), 출산전후 휴가급여 인상, 육아휴직 급여 확대(통상임금의 80%, 최대 월 150만원) 및 특례적용(출산1년이내 부모모두 육아휴직시 부모각각에 최대 200만원 3개월 지급)등의 양육부담 완화
정책을 대폭 확대하여 실시하고 있습니다.
6. 귀하의 가정에 평안과 행복이 깃드시길 바라며, 기타 문의사항이 있으신 경우 보건복지부 인구정책총괄과(044-202-3367) 또는 보건복지콜센터(국번없이 129)로 연락주시면 안내드리겠습니다. 감사합니다. 끝.</t>
  </si>
  <si>
    <t>국민행복카드 건강보험 임신출산 진료비 지원 사용조건</t>
  </si>
  <si>
    <t>현재 해당 바우처 사용할 수 있는 시점이 카드발급일부터로 지정되어 있음.
즉 임신 사실을 알고 나서 당일 카드발급을 한 것이 아니라면 임신 사실이 확정되었음에도 진료비 결제 관련해서 바우처 사용이 불가능.
예를 들면 임신사실을 숨겼거나, 몰랐거나, 알았으나 카드발급을하지 않애 분만시점에 카드를 보유하지 않은 상태였다면 바우처 100만원을 분만비용 결제시 사용할 수 없음. 분만 비용이 사실상 거의 100만원에 육박하거나 초과하기 때문에 바우처를 가장 유용하게 사용할 수 있는 경우에 해당함에도 불구하고 분만이후에 카드발급시 진료비 결제 불가능하다는 문제가 있음. (임신중 고가의 기형아등 검진비 포함)
그리고 이 사실이 이해하기 쉽게 명확하게 공지되어 있지 않아 놓치기 쉬움.(http://www.voucher.go.kr/voucher/pregnancy.do)
본인의 경우 임신사실을 알고 난 직후에 바우처 발급을 안내받았으나 회사업무 등으로 바빠서 카드발급을 잊고 있다가 출산 후 발급하려고 보니, 병원에서 재결제 자체는 가능하나 "카드발급일이 분만 시점 이후이므로 바우처로 분만비용 결제는 불가하다"고 안내받았으며 국민건강보험공단에서도 동일한 답변을 받음. 당장 발급받아야한다던가 하는 필수사항이 아니었기도 하고, 발급일 이후의 진료비 결제만 가능하다는 사실도 몰랐는데 당장 큰돈이  들어가는데 쓸수없다니 정말 곤란해요..
그러나 이러한 사실은 본 바우처가 임신 및 출산에 필요한 비용을 지원하기 위한 취지로 제공되고 있다는 점, 카드 발급 시점 이후의 진료, 약제 등에서만 사용가능하다는 안내가 제대로 되지 않는다는 점 등으로 미뤄봤을 때 개선이 꼭 필요한 부분임.무엇보다도 출산 임박 또는 이후에 임신 사실을 알게 되거나 임신임을 밝힐수 있게 되어 카드발급이 늦어질 수 있는 경우가 충분히 발생할 수 있다는 점을 감안할 때 불합리한 부분이 있음. 분만비용은 자연분만시 평균 약 90만원, 제왕절개 시 120만원 정도로 임산부에게 가장 부담이 되는 지출 중 하나이기에, 바우처가 꼭 필요한 부분임.</t>
  </si>
  <si>
    <t>바우처 사용가능 일자를 "카드 발급일 이후"로 제한하지 않고, 제출된 "임신사실확인서"상의 임신일 추정일자, 또는 임신사실확인서 발급일자로 해주거나 임신, 출산관련임을 병원에서 확인해주는 경우 바우처를 사용가능하도록 완화하여 주시기 바랍니다.</t>
  </si>
  <si>
    <t>본 바우처 제공 취지에 맞게 임산부가 금전적 부분이 되는 진료비 결제에 좀 더 활용할 수 있는 폭이 넓어짐. 또한 임신사실을 늦게 알았거나 밝힐수없었던 사람들 등이 임신출산과 관련된 비용으로 지출하는 것임이 명확하기만 하다면 바우처를 사용할수있게 되어 비용결제에 대한 부담을 덜 수 있음.</t>
  </si>
  <si>
    <t>1. 귀하의 민원 국민행복카드 수령 전 임신 관련 진료에 대해서도 소급하여 적용받다  사용할 수 있도록 요청하는 민원으로 이해되며, 다음과 같이 답변드립니다.
2. 건강보험 임신·출산 진료비는 바우처로, 임산부가 건강보험공단 등에 신청하는 경우 국민행복카드에 지원금액(2022년 100만원)이 포인트로 생성되어 사용할 수 있습니다.
  - 국민건강보험법 시행령 제23조(부가급여) 제6항에 따라 이용권을 사용할 수 있는 기간은 이용권을 받은 날부터 임신·출산한 가입자 또는 피부양자가 출산일(유산 및 사산의 경우 그해당일) 2년이 되는 날까지 입니다.
  - 또한, 사용기간 중 2세미만 영유아, 임산부의 모든 진료비 및 약국 등에서 의약품, 치료재료 구매 비용 등에 사용할 수 있음을 안내드립니다.
3. 국민행복카드를 사용할 수 있는 기간을 이용권을 받은 날부터로 한정함에 따라 귀하가 국민행복카드 수령 이전에 검사 또는 진료 건에 대해서는 소급하여 사용할 수 없음을 양해하여 주시기 바랍니다. 
 - 복지서비스 관련 안내책자, 행안부, 복지부, 지자체, 건보공단, 의료기관, 국민행복카드 발급기관 등에서 홍보 및 안내를 하고있으나, 보다 다양한 홍보가 이루어 질수 있도록 지속적으로 개선 및 관리하도록 하겠습니다.   
4. 답변에 대하여 더 궁금하신 사항이 있으신 경우에는 보건복지부 보험급여과(044-202-2731) 또는 국민건강보험공단(1577-1000)으로 문의하시면 상세히 안내해 드리겠습니다. 감사합니다. 끝.</t>
  </si>
  <si>
    <t>출생률 상승과 다둥이 가족 지원 방안 제안</t>
  </si>
  <si>
    <t>정부의 관련 예산이 크게 집행되고 있지만, 출생률 상승에 대한 정부의 지원책이 표면에 겉돌고 실질적인 지원방안이 마련되지 않아 출생률 성장이 안되고 있습니다. 다둥이 가족에 대한 지원이 안되므로 아이를 많이 낳으면 삶의 질이 떨어지고, 불편하고, 비용이 과다해져 힘들어진다는 선입견이 많이 실제로 어려움이 많은 것도 사실입니다.</t>
  </si>
  <si>
    <t>1. 다둥이 가족에 대한 혜택으로 주택청약에 85형 지원에 제한 하도록 하는 현재 정책을 가족 수에 따라 방 5개 이상 대형 평수로 늘이고, 정부의 금융지원도 함께 해준다면 생활에 직접적인 도움이 될 것입니다.
2. 아이를 많이 키우는 집은 아이를 데리고 이동하는 것이 장애인에 맞먹을 만큼 고되고 힘듭니다. 현재 장애인 처우에 맞게 다둥이 이용자들의 지원해주기 위해 장애인주차장 시설의 이용과 이동 편의를 위한 지원이 필요합니다.
3. 많은 아이를 키우는 다둥이 가정은 주거비, 식비, 의료비, 교육비가 많이 들어갑니다. 정부의 세제 지원책이 많이 약해지고 보편적인 어린이집 지원이 커진 상황에서 다둥이 가정은 인원 수에 비례하게 정부의 세제지원, 인당 30만원 이상의 생활보조비 지원과학자금 면제가 필요합니다.
4. 맞벌이 가정이 다둥이를 키우는 경우 주중에는 어린이집이나, 유치원을 이용할 수 있으나, 퇴근 후 저녁시간과 주말에는 독박육아로 힘들어지게 됩니다. 이러한 경우 저녁시간과 주말에도 아이를 위탁시켜 맡길 수 있도록 현재의 어린이집과 유치원의 운영시간을 확장시키고 이에 대한 정부의 지원이 필요합니다.
5. 일하는 여성들이 아이를 키우면서 일하기 힘듭니다. 오히려 여성들이 다둥이 출산을 통해 아이를 키울 수 있도록 다둥이 육아여성들에게 다둥이에 비례하여 국가에서 월급을 준다면 육아에 전념하는 여성들이 늘어날 것으로 보입니다.</t>
  </si>
  <si>
    <t>옛말에 아이를 한명 키우는데 한 마을이 같이 키운다고 했습니다. 그 만큼 고되고 손이 많이 드는데 단순히 아이들 놀이프로그램이나, 청년들 주택마련을 해준다고 출산률이 늘어날 것 같지는 않습니다.
만약 다둥이를 갖더라고 안정된 생활이 보장되고, 오히려 아이가 증가할 수록 정부의 과도한 지원을 받는다는 생각이 든다면 출산률은 자연스럽게 늘어날 수 있다고 판단됩니다.</t>
  </si>
  <si>
    <t>1. 안녕하십니까? 귀하께서 보건복지부 업무와 관련하여 제안하신 사항에 대해 안내드립니다.
2. 귀하의 제안 내용은 '맞벌이 가구를 위한 어린이집 운영'에 관한 것으로 이해됩니다.
3. 귀하의 제안에 대해 검토한 의견은 다음과 같습니다.
 가. 우리부는 맞벌이 가구 등 보육이 어려운 가정을 위하여 어린이집의 연장보육 및 그 밖의 연장보육을 제공하고 있습니다.
   - 기본보육(9:00~16:00), 연장보육(16:00~19:30), 그 밖의 연장형보육(기본보육, 연장보육 외 시간)
 나. 제도 개선을 위한 귀하의 제안에 감사드리며, 귀하께서 보내주신 의견은 향후 어린이집 운영 개선 등 보육정책 수립에 소중한 참고자료로 활용하도록 하겠습니다.
4. 추가 문의는 보건복지상담센터(☏국번없이 129) 또는 보육기반과(☏044-202-3582)로 연락주시면 친절히 안내해 드리도록 하겠습니다. 감사합니다. 끝.</t>
  </si>
  <si>
    <t>출산장려정책</t>
  </si>
  <si>
    <t>- 쌍 태아 및 다 태아 일 경우 부모 외의 양육자가 (2-3명) 필수
- 경제적인 문제( 자녀 양육 자금 상향 조정)
- 자녀 양육에 대한 지자체 및 국가 차원의 양육에 대한 교육이수 및 보육 교사 파견
- 출산 물품 지원
- 시립 어린이집 운영 확대</t>
  </si>
  <si>
    <t>- 1차적으로 경제적 문제가 해결 되어야 자녀 출산 장려 이루어짐
- 보육 교사 파견으로 인한 자녀들에 대한 인권 보호 
- 산모와 자녀의 유대관계 향상 및 심신의 안정</t>
  </si>
  <si>
    <t>1. 안녕하십니까? 귀하께서 국민신문고로 제기하신 제안(1AB-2211-0006272)에 대한 검토 결과를 아래와 같이 안내드립니다.
  (1) 자녀 양육 자금 상향에 관한 답변
   ○ 정부는 제4차 저출산 고령사회 기본계획(2021-2025)에서 부모의 영아기 아동을 돌볼 권리를 보장해주고, ‘아이가 가족과 함께 하는 시간’을 보장할 수 있는 사회로 나아가기 위해, 양육부담을 완화하기 위해 아래와 같은 다양한 정책을 추진하고 있습니다.
    1) 첫만남꾸러미Ⅰ : 임신,출산 의료비 바우처 100만원 지원(‘22년부터)
    2) 첫만남꾸러미Ⅱ : 출생시 아동당 200만원 지원 (’22년 출생아부터 지원)
    3) 아동수당 : 보육시설 이용여부 관계없이 만8세 미만 아동에 월 10만원 지원
    4) 영아수당 : 만0~1세 영아대상 보육시설 미이용시 월 30만원 지원('22년 출생아부터 지원)
    5) 가정양육수당: 보육시설 미이용 만2~7세 아동에 월10만원 지원(‘22년 이전 출생아에 적용)
    6) 보육료지원 : 보육시설 이용 만0~1세 영아에 바우처로 월 약 50만원 지원, 만2~7세 아동에 월28~30만원 지원(’22년 이전 출생아에 적용)
※ 상기 제도는 자녀순서 및 소득수준에 관계없이 모든 아동 1명에게 동일 지원 
   ○ 또한, 정부는 만0~1세 아동을 대상으로 출산이나 양육으로 인해 손실되는 소득을 보전하고, 영아기 돌봄을 두텁게 지원하기 위하여 영아수당을 확대하는 부모급여 도입을 추진 중에 있습니다.
  (2) 자녀 양육에 대한 국가 차원의 양육에 대한 교육이수에 대한 답변
   ○ 국가와 지방자치단체는 「영유아보육법」제9조의2에 근거하여 보호자의 신청에 따라 영유아의 성장·양육방법, 아동학대 예방, 부모 양육태도 점검 등 가정 양육에
도움이 되는 다양한 교육 프로그램을 진행 중에 있으며, 현재 전국 육아종합지원
센터에서 영유아 자녀를 둔 부모와 영유아 대상으로 단계별(입문·기초·심화) 교육을 제공하고 있습니다.
   ○ 또한, 양육자의 관심사 및 현장 요구도를 반영한 주제에 대해 양질의 콘텐츠를 지속적으로 개발·보급 중에 있습니다. 앞으로도 다양한 방식의 부모교육 과정 개발을 통해 교육대상 및 참여를 확대해 나갈 계획임을 알려드립니다.
  (3) 출산 물품 지원에 대한 답변
   ○ 정부는 '함께 일하고 함께 돌보는 사회 구축'을 위해 「제4차 저출산고령사회 기본계획」을 수립·발표('20.12월)하였으며 출생·육아에 따른 경제적 부담 경감을 위해 첫만남이용권(바우처) 사업을 실시하여 출생아당 200만원을 지원하고 있으며, 이를 통해 출산·육아에 따른 경제적 부담을 경감할 수 있을 것으로 판단됩니다.
 (4) 국공립 어린이집 운영 확대에 대한 답변
   ○ 국가가 보육을 전담할 수 있는 시설을 확대 운영해야 한다는 귀하의 의견에 공감하는 바이며, 우리부에서는 부모 선호도가 높은 국공립어린이집 설치를 지원하여 공공보육 인프라를 확충하고 양질의 보육서비스 기반 조성을 추진하고 있습니다.
   ○ 이와 관련하여, 공공보육 이용률 지속 확대를 제4차 저출산고령사회 기본계획에 포함하고, 지자체가 신축, 기존 시설 리모델링 및 매입, 장기임차 등 다양한 방식으로 국공립어린이집을 설치할 수 있도록 제도개선 및 예산 등을 지원하고 있습니다.
    - 특히, 국공립어린이집 신축이 어려운 지역에서는 기존 민간시설을 매입하거나 장기임차 및 리모델링비 등 지원을 통해 국공립으로 전환하도록 하고 있습니다.
   ○ 어린이집의 공공성 향상을 위해 국공립어린이집 확충을 지속 추진하겠습니다.
2. 답변 내용에 대한 추가 문의사항이 있으신 경우 보건복지부 보건복지콜센터(국번없이 129) 또는 영아수당 및 부모급여에 관한 사항은 보육사업기획과(044-202-3572), 양육수당에 관한 사항은(044-202-3567), 부모교육에 관한 사항은 보육사업기획과(044-202-3565), 첫만남 이용권에 대한 사항은 출산정책과(044-202-3398), 국공립 어린이집 확충에 관한사항은 보육정책과(044-202-3542)로 연락주시면 성실히 답변 드리겠습니다. 감사합니다.</t>
  </si>
  <si>
    <t>인구증가를 위안 출산 비용 국가가 전액 지원</t>
  </si>
  <si>
    <t>지역소멸이라는 중차대한 문제에 직면 하고 있읍니다.
결혼 연령이 늦다보니 불임 및 노산의 문제가 발생 해 임신을 해도
유산이 되고 아이가 잘 들어서지 않읍니다.
비용이  부담이 되고 하니 한번 유산이 되어 버리면 아이를 낳는 것을 포기 하는 경우가 허다 합니다.
아이를 낳을려고 하지만 경제적 부담이 가중되어 쉽게 포기 하고 있읍니다.</t>
  </si>
  <si>
    <t>아이를 낳을려고 노력하는 산모들에게 불임시술 비용및 인공수술의 비용을 
전액 정부에서 지원 해 주는 방안 입니다.
출산및 육아에 관한 경비는 제반 정부에서 지원 하자는 바입니다.</t>
  </si>
  <si>
    <t>출산을 쉽게 포기 하는 임산부가 없을 것이다.
아이들의 울음소리가 많이 들릴 것이다.
늦게 까지 아이를 낳을려고 노력 하는 임산부가 늘어 난다.
인구가 증가한다.</t>
  </si>
  <si>
    <t>1. 안녕하십니까? 귀하께서 국민신문고 국민제안을 통해 신청하신 제안에 대한 검토결과를 다음과 같이 안내드립니다.
2. 귀하의 제안 요지는 '난임부부 시술비 전액 지원'에 관한 것으로 이해됩니다.
3. 우리부는 2006년부터 난임부부 체외수정 시술비 지원사업을 시작으로, 2017년 10월 국민건강보험 적용을 통해 보험 가입자라면 소득 수준에 관계없이 누구나 난임시술에 대한 보험혜택을 받을 수 있도록 하였습니다.
  - 아울러, 난임시술 건강보험 지원횟수 확대* 및 연령제한 폐지, 사실혼 부부 지원, 만45세 미만 여성의 본인부담률 일괄 30%로 인하 등 난임부부를 위한 지원 정책을 지속적으로 확대하고 있습니다.
    * 현재 체외수정은 신선배아 최대 9회, 동결배아 최대 7회, 인공수정은 최대 5회까지 건강보험 적용을 받을 수 있습니다.
4. 추가적으로, 저소득층 및 일부 중산층에 대해 건강보험 본인부담 비용을 보충적으로 지원하기 위하여 난임부부 시술비 지원사업을 시행하고 있습니다.
  - 동 사업은 정부의 재정분권 추진에 따라 2022년 1월부터 각 지방자치단체별로 지역별 특성에 맞춰 대상 선정 기준 및 지원 범위를 자율적으로 추진하고 있음을 알려드립니다.
  - 귀하께서 제안하신 난임부부의 시술비 전액 지원은 소요 예산 및 지자체별 여건, 전문가 의견 등 종합적인 고려가 필요한 사안으로, 난임부부를 고려한 지원사업이 수행될 수 있도록 다각적인 방안에 대해 적극 검토해 나가겠습니다.
5. 출산정책에 대한 귀하의 관심과 의견에 대해 감사드리며, 답변 내용에 대한 추가 설명이 필요한 경우 보건복지부 출산정책과(서영호 주무관, 044-202-3396)로 문의하시면 친절히 안내드리도록 하겠습니다.  끝.</t>
  </si>
  <si>
    <t>저출산 문제를 위한 지원 혜택(제대혈 지원)</t>
  </si>
  <si>
    <t>제대혈은 조혈모세포, 간엽줄기세포가 풍부하게 들어 있고 그 의료적 가치등이 매우 높게 평가되고 있는 상황입니다. 
태아 본인 뿐만 아니라, 적합한 가족 등도 긴급상황 시 등 활용할 수 있다는 점에서도 매우 귀중합니다.
헌혈자 부족 등 혈액 수급이 어려운 실태에 적합도 높은 혈액을 치료용으로 비상시 사용할 수도 있고, 
아직 홍보부족 등으로 활성화 되고 있지 않은 제대혈 보관 및 활용도 촉진할 수 있습니다.
현재는 저출산 문제가 심각하고, 제도적인 지원과 인적, 물적 지원도 시급한 시기입니다. 또한 고령화 사회에 직면하면서 노인인구는 많아지고 각종 노인성 질환으로 인해 많은 치료비 등의 경제적인 부담도 커지고 있는 실정입니다.
몇년 째 마이너스되고 있는 대한민국 인구와 저출산 문제에 더욱 더 긴박해지는 상황에서 저출산 문제와 노인을 위한 건강복지와 안전에 대한 개선이 꼭 필요한 상황이기도 합니다.</t>
  </si>
  <si>
    <t>제대혈 보관, 제대혈 관련 비용을 국가나 지자체가 일부 지원하거나, 
저소득 취약계층의 가정은 전액 지원합니다!</t>
  </si>
  <si>
    <t>헌혈자 부족 등 혈액 수급이 어려운 실태에 적합도 높은 혈액을 치료용으로 비상시 사용
태아 본인 뿐만 아니라, 적합한 가족 등도 긴급상황 시 등 치료목적으로 활용 가능</t>
  </si>
  <si>
    <t>1. 안녕하십니까. 귀하께서 국민신문고를 통해 신청하신 제안(1AB-2212-0015862)에 대한 검토 결과를 다음과 같이 알려드립니다.
2. 우선, 제대혈 업무에 관심을 가져주시고 소중한 의견을 주신 점에 대해 감사드립니다. 귀하가 신청한 제안은 '제대혈 보관 및 관련 비용에 대한 국가의 지원'에 관한 사항으로 이해하였습니다.
3. 귀하께서 제안하신 사항에 대하여 다음과 같이 답변드립니다.
  가. 우리부는 「제대혈 관리 및 연구에 관한 법률」제4조(국가 및 지방자치단체의 책무)에 따라 건전한 제대혈 기증 및 이식 문화의 정착을 위하여 노력하고 있습니다. 
  나. 현재 백혈병 등 질환 치료를 위한 기증제대혈 확보와 이식에 적합한 기증제대혈을 공급하는 기증제대혈은행에 대하여 국가가 제대혈 채취, 보관료 등을 지원하고 있음을 알려드립니다.
4. 다시 한번 소중한 의견 보내주신 점 감사드리며, 이와 관련한 추가 질의가 있으실 때에는 보건복지부 상담센터(129) 또는 담당자(044-202-2634)에게 연락주시면 안내드리도록 하겠습니다.  끝.</t>
  </si>
  <si>
    <t>저출산 문제 극복을 위한 보고금 지원 정책</t>
  </si>
  <si>
    <t>1. 심각한 저출산으로 인한 국가소멸위기</t>
  </si>
  <si>
    <t>1. n명 낳을 시 낳을 때마다 부모에게 일시금 n억 지원 정책</t>
  </si>
  <si>
    <t>1. 심각한 저출산으로 인한 국가소멸위기 극복</t>
  </si>
  <si>
    <t>1. 안녕하십니까? 보건복지부 인구정책총괄과입니다. 귀하께서 국민신문고를 통해 신청하신 민원에 대한 검토 결과를 다음과 같이 알려드립니다.
2. 귀하께서는 저출산현상 극복을 위해 자녀수당 1억원 지원을 건의하신 것으로 이해됩니다.
3. 저출산 현상은 사회경제적 요인뿐 아니라 인구학적, 국민 인식 변화 등 복합적·사회구조적 요인에 따라 나타난 결과적인 현상입니다. 저출산 극복을 위해서는 전체적인 사회경제구조 변화가 수반되어야 하여, 수당지원 외의 여성의 사회진출 증가에 따른 보육시설 확충 등 기반시설 확충을 위한 투자도 함께 고려해야 합니다. 이에 정부는 임신,출산,양육의 경제적 부담완화를 위해 아래와 같은 정책을 추진하고 있습니다.
 1) 첫만남꾸러미Ⅰ : 임신,출산 의료비 바우처 100만원 지원('22년부터)
 2) 첫만남꾸러미Ⅱ : 출생시 아동당 200만원 지원 ('22년 출생아부터 지원)
 3) 아동수당 : 보육시설 이용여부 관계없이 만8세 미만 아동에 월 10만원 지원
 4) 부모급여 : 만0세에 70만원, 만1세에 월 35만원('23년 기준)지급하되, ▲가정양육시 현금지급, ▲어린이집 재원시 만 0세는 보육료바우처+현금, 만1세는 보육료 바우처로 지급
  *'23년 도입된 영아수당이 부모급여로 명칭 변경 및 지원 확대
 5) 가정양육수당: 보육시설 미이용 만 2~7세 아동에 월 10만원 지원('22년 이전 출생아에 적용)
 6) 보육료지원 : 보육시설 이용 아동에 시설이용료 바우처 지원('22년 이전 출생아에 적용)
※ 상기 제도는 자녀순서 및 소득수준에 관계없이 모든 아동 1인당 동일 지원
5. 이 외에도 ▲아동 진료비 본인부담률 인하 ▲만 12세 이하 아동에 17종 감염병에 대한 필수예방접종비 전액지원, ▲고위험 임산부 의료비지원 대상 질환 확대 등 아이를 낳고 기르는데 필요한 의료비 부담을 완화하였으며, ▲무상 보육·유아교육, ▲초중고 무상교육실시('21년 이후로 전면실시)), ▲출산전후 휴가급여 인상, ▲육아휴직 급여 확대(통상임금의 80%, 최대 월 150만원) 및 특례적용(출산 1년 이내 부모모두 육아휴직 시 부모각각에 최대 300만원 지급) 등의 양육부담 완화 정책을 확대하여 실시하고 있습니다.
6. 귀하의 정책제안은 소요되는 정책도입의 타당성 및 적절성 연구, 정책효과 분석, 관계부처 협의, 전문가 자문 등과 함께 소요되는 재정 및 재정투입의 우선순위 등에 대한 사회적 합의가 선행되어야 하는 등 신중한 검토가 필요한 바, 수용이 어렵습니다. 다만, 앞으로 획기적 현금지원 필요성에 대해서는 지속 검토해나가도록 하겠습니다.
7. 귀하의 가정에 평안과 행복이 깃드시길 바라며, 기타 문의사항이 있으신 경우 보건복지부 인구정책총괄과(044-202-3367) 또는 보건복지콜센터(국번없이 129)로 연락주시면 안내드리겠습니다. 감사합니다. 끝</t>
  </si>
  <si>
    <t>신생아 획기적인 출산정책</t>
  </si>
  <si>
    <t>신혼부부 출산율 증가를 위한 획기적인 방법을 건의
내용
지금 정부의 출산정책이 매년 금액으로 따지면 ㅡ수조원ㅡ에 달하는걸로 알고 있습니다
지난 5년간 ㅡ수십조ㅡ에 달하는 막대한 돈을 썼음에도 불구하고
늘어나는 신생아수는 극히 미미하여 인구감소를 부체질하는 추세입니다
헛돈을 쓰는 참 통탄할 일입니다
2070년이 되면 우리나라 인구가 3500만 정도로 줄어든다는 연구결과가 tv에 나왔습니다
무서운 결과가 초래됩니다 노동인구의 무서운 감소,선진국에서 탈락하는 결과등
그 폐해는 이루말할수 없다고 봅니다
각설하고 건의합니다
ㅡ신혼부부가 신생아를 출산하면 1인당 5천만원을 정부에서 지불하는 방법입니다
ㅡ그럼 많은 부부가 애를 낳을려고 노력하는건 불을보듯 뻔합니다
ㅡ둘째를 낳으면 3천만원을 추가,셋째를 낳으면 2천만원 추가
ㅡ이런 정책으로 나간다면 아주 단순하면서도 출산율을 끌어올리는 획기적인 정책이 되리라 봅니다
지금의 출산정책은 간접분야에만 수십조원을 쓰면서도 별효과를 보지 못하고 있는건 전국민이 다 아는 사실입니다
위와같은 직접적으로 혜택을 주는 정책을 강구하시길 건의합니다
이런걸 모르니 참 답답하고 한심한 지경입니다</t>
  </si>
  <si>
    <t>1. 안녕하십니까? 보건복지부 인구정책총괄과입니다. 귀하께서 국민신문고를 통해 신청하신 민원에 대한 검토 결과를 다음과 같이 알려드립니다.
2. 귀하께서는 저출산현상 극복을 위해 자녀출산시 첫째 5천만원, 둘째 3천만원, 셋째 2천만원의 수당지원을 건의하신 것으로 이해됩니다.
3. 정부는 임신,출산,양육의 경제적 부담완화를 위해 아래와 같은 정책을 추진하고 있습니다.
 1) 첫만남꾸러미Ⅰ : 임신,출산 의료비 바우처 100만원 지원(‘22년부터)
 2) 첫만남꾸러미Ⅱ : 출생시 아동당 200만원 지원 ('22년 출생아부터 지원)
 3) 아동수당 : 보육시설 이용여부 관계없이 만8세 미만 아동에 월 10만원 지원
 4) 부모급여 : 만0세에 70만원, 만1세에 월 35만원('23년 기준)지급하되, ▲가정양육시 현금지급, ▲어린이집 재원시 만 0세는 보육료바우처+현금, 만1세는 보육료 바우처로 지급
  *'23년 도입된 영아수당이 부모급여로 명칭 변경 및 지원 확대
 5) 가정양육수당: 보육시설 미이용 만2~7세 아동에 월10만원 지원('22년 이전 출생아에 적용)
 6) 보육료지원 : 보육시설 이용 아동에 시설이용료 바우처 지원('22년 이전 출생아에 적용)
※ 상기 제도는 자녀순서 및 소득수준에 관계없이 모든 아동 1인당 동일 지원
5. 이 외에도 ▲아동 진료비 본인부담률 인하 ▲만 12세 이하 아동에 17종 감염병에 대한 필수예방접종비 전액지원, ▲고위험 임산부 의료비지원 대상 질환 확대 등 아이를 낳고 기르는데 필요한 의료비 부담을 완화하였으며, ▲무상 보육·유아교육, ▲초중고 무상교육실시('21년 이후로 전면실시)), ▲출산전후 휴가급여 인상, ▲육아휴직 급여 확대(통상임금의 80%, 최대 월 150만원) 및 특례적용(출산1년이내 부모모두 육아휴직시 부모각각에 최대 200만원 3개월 지급) 등의 양육부담 완화 정책을 확대하여 실시하고 있습니다.
6. 귀하의 정책제안은 소요되는 정책도입의 타당성 및 적절성 연구, 정책효과 분석, 관계부처 협의, 전문가 자문 등과 함께 소요되는 재정 및 재정투입의 우선순위 등에 대한 사회적 합의가 선행되어야 하는 등 신중한 검토가 필요한 바, 수용이 어렵습니다. 다만, 앞으로 획기적 현금지원 필요성에 대해서는 지속 검토해나가도록 하
겠습니다.
7. 귀하의 가정에 평안과 행복이 깃드시길 바라며, 기타 문의사항이 있으신 경우 보건복지부 인구정책총괄과(044-202-3367) 또는 보건복지콜센터(국번없이 129)로 연락주시면 안내드리겠습니다. 감사합니다. 끝.</t>
  </si>
  <si>
    <t>불완전한 출산 장려정책을 시정 해주세요 (난임시술비지원)</t>
  </si>
  <si>
    <t>부인이 현재 난임시술 시험관수정 지원 6회중 5회 째 시술을 받던중 복강내 출혈이 발생 하여 새벽2시 응급실에 입원을 하였습니다.
3일간 치료후 다행히도 퇴원 하였고 저희에겐 실손보험이 있어 실손보험처리를 하면 되겠구나 생각 하였지만 보험회사는 난임시술중 일어난 사고에 대한 보상은 하지 않는다는 답변을 받았습니다. 
출혈이란 평소 듣던 단순한 말로 지혈이 되면 괜찮은 단순한 증상이라 생각 했지만 복강내출혈이란 폐경이 될수 있는 증상이라 합니다. 저희는 이제 단 한번의 시술비 지원만이 남아있습니다. 하지만 한번에 임신이 보장될리도 없을뿐더러 임신 성공률을 보니 비싼 시술비를 감당할수 있을지 모르겠습니다. 이런 걱정도 숨이 막혀오지만 시술시마다 생길수 있는 위험요소를 생각하지 않을수가 없습니다. 부인은 마지막 한번의 기회마저 주저 없이 해보자고 합니다. 하지만 이런 부인을 저는 말리고 싶지 않을까요? 난임부부는 당장 눈앞에 보이는 방법이면 달려갑니다. 하지만 그곳이 낭떠러지는 되지 말아야 되지 않겠습니까? 
시술로 인해 부인은 폐경을 맞을수 있다는 사실을 깨닫고 나니 당장 나라에서 지원해주니 난임시술을 해보자 한 행동에 아내를 불행하게 만드는 행위라 생각하니 적극 막고 싶은 마음입니다. 아이 없는 부부에 평생 죄책감을 지고 살아야 하는 남편이 될수 있단 사실에 강력히 정책 요구를 하지 않을수가 없습니다.
한해 많은 돈이 시술비 지원이 된다는것을 알지만 여성에게 일어나는 부작용 후속 조치에 대한 정책은 없습니다.</t>
  </si>
  <si>
    <t>1. 복강내출혈에 대한 치료비 지원은 개인보험으로도 되지 않아 치료비 지원을 받을수 있게 해주십시오
2. 난임 시술 후 폐경이 된 사람에게 보상조치가 이루어져야 합니다. 그래야 여성은 안심하고 난임시술에 임할수가 있습니다.
3. 첫째 아이까지는 계속 지원 해주어 누구든지 한 아이는 무조건 낳을수 있게 해야합니다. 두째 30% 셋째 50% 등으로 지원하면 더 안정적인 정책이 될것입니다. (현재 시술비 지원 단순 횟수제한으로 6회안에 0명~여러명이 임신됩니다. 하지만 횟수를 초과 하면 전액 본인 부담합니다. 물론 1,2번으로 위험요소를 먼저 해결 해야겠지만 지원횟수가 임신성공률을 보면 턱없이 모자란 숫자라 생각합니다.</t>
  </si>
  <si>
    <t>난임부부시술비 지원으로 출산을 장려하는 정책은 복강내출혈에 대한 커다란 리스크가 해소 또는 완화가 되지 않는 한 시술비 지원에 대한 의도는 반쪽짜리 정책이라 생각합니다. 많은 사람들중 누군가는 낭떠러지로 향해 달려간다는 사실을 막아야합니다.</t>
  </si>
  <si>
    <t>1. 안녕하십니까? 귀하께서 국민제안을 통해 신청하신 제안에 대하여 다음과 같이 답변드립니다.
2. 귀하의 제안내용은 "난임시술 시 발생된 사고에 대한 지원, 시술비 지원횟수 확대 등 난임지원 정책 개선 필요"로 이해됩니다.
3. 우선, 난임으로 어려움을 겪고 계시는 귀하의 가정에 진심으로 위로의 말씀을 드립니다.
4. 우리부는 2006년부터 난임부부 체외수정 시술비 지원사업을 시작으로, 2017년 10월 건강보험 적용을 통해 건강보험 가입자라면 소득수준에 관계없이 누구나 난임시술 (자궁내정자주입, 체외수정) 비용에 대한 혜택을 받을 수 있도록 하였으며, 
  - 건강보험의 보편적인 적용에도 불구하고 저소득층 및 일부 중산층에 대해 건강보험 본인부담비용을 보충적으로 지원하는 "난임부부 시술비 지원사업"을 지속하고 있습니다.
  - 아울러, 난임시술의 건강보험 적용 횟수를 확대*하고 연령제한을 폐지하여 만45세 이상도 건강보험을 적용받을 수 있도록 개선하였으며, 더 나아가 사실혼 부부 지원, 만45세 미만 여성의 본인부담률을 일괄 30%로 인하하는 등 난임부부를 위한 지원 정책을 지속적으로 확대하고 있습니다.
    * (체외수정) 신선배아 최대 9회, 동결배아 최대 7회, (자궁내정자주입(인공수정)) 최대 5회
  - 참고로, "난임부부 시술비 지원사업"은 2022년부터 지자체별 특성을 고려한 지원기준 및 규모 등을 자율적으로 결정하여 추진 중임을 알려드립니다.
5. 우선, 귀하의 아내분께서 지원받을 수 있는 난임시술 횟수가 총 6회라고 하셨는데, 건강보험 적용 및 난임부부 시술비 지원사업의 지원대상 여부(횟수)는 해당 의료기관 및 관할 보건소에 확인하시는 것이 정확할 것으로 판단됩니다. 아울러, 시술 중 발생되는 부작용 등의 치료는 건강보험 적용항목에 해당되나, 이에 대한 추가지원은 난임부부 시술비 지원사업의 취지와 한정된 예산 등을 고려하여 지원내역에 포함되지 않음을 양해말씀 드립니다.
6.  난임부부에게 시행하는 보조생식술의 건강보험 적용(급여기준)은 시술에 따른 신체적 부담, 임상적 유효성, 비용부담 등을 고려해 한정된 재원으로 다양한 질병 진단 및 치료를 보장하는 건강보험의 특성을 감안하여 보장 횟수가 설정되며,
  - 우리부는 난임부부가 안전하고 건강하게 난임치료 시술의 건강보험 적용을 받을 수 있도록 종합적으로 검토하고 있습니다.
7. 귀하께서 제안하신 시술횟수 제한을 없애는 것은 건강보험 적용 원칙 및 의학적 타당성, 소요예산 등의 중장기 검토가 필요한 사안임을 이해하여 주시기 바랍니다.
8. 다시 한번, 귀하께서 겪으신 상황에 대한 위로의 말씀과 아내분의 빠른 쾌유를 기원하며, 답변 내용에 대한 추가 설명이 필요한 경우 보건복지부 출산정책과(정순애 사무관, 044-202-3395)로 문의하시면 상세히 안내드리도록 하겠습니다.  끝.</t>
  </si>
  <si>
    <t>임신육아종합포털아이사랑에서 입소대기 확정시 보육료로 자동 전환되는 시스템을 도입합시다.</t>
  </si>
  <si>
    <t>대한민국의 복지는 신청주의입니다. 지겹게 들었던 말입니다. 
사회복지에 무지한 사람은 신청하지 못하고  사회복지를 잘 아는 사람이나 주변 사람들과의 관계가 있는 자는 별 문제가 아닙니다. 
그러나 항상 복지 사각지대가 있고  여러 경제적 위기로 인하여 위축되어 주변 사람들과의 관계가 멀어진 사람에게는 받을 수 있는 혜택이 있지만 알지 못하여 신청하지 못하는 사건은 끊임없이 일어납니다. 그 때마다 사회복지사 또는 공무원은 신청하지 못한 사람의 책임이라고 전가해버리고 그냥 넘어갑니다. 약자는 말이 없고. 죽은자 또한 말이 없습니다. 
임신육아종합포털 아이사랑 홈페이지에서 입소 대기를 하고  15일 전에 보육료로 전환해야 하는 것은 매우 바쁜 부모가 꼭 알아두어야 하는 사항입니다. 
어린이집 원장님도 이것을 고지해야 할 의무는 없습니다. 
단지, 이 사실을 잊은 사람은 아주 비싼 보육료를 지불해야 하는 대가가 뒤따릅니다. 자신의 실수라고 자책해도 소용이 없습니다.</t>
  </si>
  <si>
    <t>임신육아종합포털 아이사랑 홈페이지에서 입소 확정 시  자동으로 보육료로 전환되도록  시스템을 일원화하기 바랍니다. 
탁상행정을 해야하기 때문에 책상 앞에 앉아있으신 고귀한 공무원 여러분들은  육아를 하면서 컴퓨터나 주민센터에 가기 어려운 생업에 바쁜 부모를 이해할리 없습니다. 
대한민국 사회복지는 신청주의이기 때문에 신청하지 않는 부모 탓이라는 말을 하는 것은 살인행위입니다. 민원인에게 따뜻하고 위로하는 한 마디를 건네기 바랍니다.</t>
  </si>
  <si>
    <t>다문화 가정은 한국 시스템을 잘 이해하지 못하여 일일이 신청하지 못하여 피해를 보는 일이 많습니다. 
또한 조부모 가정처럼 거동이 불편하여 주민센터를 찾기도 복지로로 신청하기도 어려운 사람들이 복지서비스를 놓치는 일이 없어질 것입니다.</t>
  </si>
  <si>
    <t>1. 안녕하십니까? 보육정책에 관심을 가져 주셔서 감사드리며, 귀하께서 국민신문고를 통해 제기하신 제안(1AB-2301-0010145)에 대한 검토 결과를 안내드립니다. 
2. 귀하의 제안 내용은 "입소확정 시 보육자격 자동 전환"에 관한 것으로 이해되며 다음과 같이 알려드립니다. 
 ○ 정부는 다양한 보육 수요에 부응하기 위해 영유아에 대한 보육서비스를 보육료, 아이돌봄, 양육수당, 유아학비로 세분화하여 제공(서비스간 중복 수급 금지)하고 있으며, 부모의 자율적 선택에 의해 상기 서비스 간 변경을 인정하고 있습니다.
 ○ 따라서 부모의 선택권을 보장하고 서비스 간 중복 수급 등을 해소하기 위해 관할 주민센터 또는 복지로(인터넷, 상시신청가능)로 신청 후 시군구 담당자의 확인 절차를 거쳐 보육료를 지원하는 "신청주의"를 따르고 있습니다. 
  - 이는 다른 복지서비스와 마찬가지로 부모의 서비스 수급에 대한 의사를 파악하고 이에 따른 서비스를 지원하기 위해서이며, 보육료 또는 양육수당으로 서비스를 변경하는 사항 역시 변경하겠다는 부모의 의사에 대한 확인이 필요한 사항이기에 신청에 따라 보육료 및 양육수당을 지원하고 있습니다.
  - 신청에 대한 근거는 「사회보장기본법」제11조 제1항, 「영유아보육법」제34조의4 제1항, 동법 시행규칙 제35조의6 제1항, 「유아교육법」제24조 제2항, 동법 시행규칙 제4조 제1항입니다.
  - 또한 자격변경 시(보육료↔양육수당)에는 15일 이전에 신청한 경우에는 신청월에 변경신청한 서비스를 지원하고, 16일 이후에 신청한 경우에는 신청한 다음달 1일부터 변경신청한 서비스를 지원하고 있는 점 안내드립니다.
 ○ 제도 안내와 관련하여 유아학비, 보육료, 가정양육수당 신청 시 여러 안내문을 통해 어린이집을 입퇴소하는 경우 서비스 변경신청이 필요함을 안내하고 있습니다(입소대기 및 입·퇴소시 카카오톡 알림, SMS/LMS 안내 중). 또한 복지로(online.bokjiro.go.kr)」의‘서비스 변경신청에 따른 급여지급 처리기준안내’에
는 "아동의 보육관련 서비스를 변경할 경우, 반드시 서비스 변경을 신청해야 한다." 고 명시·안내 중입니다.
 ○ 귀하의 제안과 같이 입소대기시스템에서 입소 확정이 되면 자동으로 보육료 자격으로 전환하는 것은 어린이집 입소와 부모의 자격 변경 신청에 대한 의사표시 일치 여부 및 시군구 담당자의 확인을 거친 후 자격 확정이 요구되는 시스템 개편 사항이므로 추후 귀하의 의견이 정책에 반영될 수 있도록 중장기적으로 검토하여 개선하도록 하겠습니다.
3. 추가 문의 사항이 있으시면 보건복지부 보건복지콜센터(국번없이 129)또는 보육사업기획과(044-202-3563)로 연락주시기 바랍니다. 감사합니다. 끝.</t>
  </si>
  <si>
    <t>출산정책 보다 효율적으로 하자</t>
  </si>
  <si>
    <t>현재 출산정책으로는 돈은 돈대로 쓰고 큰 효과도 못 보고 있다. 가장 중요한 건 둘, 셋 낳는 가정을 더 살펴야 한다는 점이다. 한명 낳는다고 출산율은 오르지 않는다. 그런데 1명 낳는 데에 지원 해주고 정작 둘 셋 낳는 집에는 눈에 띄게 차별화된 정책이 있는 것도 아니다. 출산율을 올리려면 둘셋 낳나느 게 필요하다.</t>
  </si>
  <si>
    <t>현재 자녀 1명 출산에 지원 하는것을 줄이고 그것에서 세이브 한것을 둘째, 혹은 셋째 이상에 엄청난 지원을 해줘야 한다. 
그 이유로는 효율성이다. 현재 주변 부부들을 보면 결혼하면 일반적으로 아이 하나 정도 낳으려고 한다. 그런 사람들은 지원이 있건 없건 하나는 낳는다. 그럼 둘째를 낳는 사람들 부터 지원을 많이 해준다면 어떨까? 그럼 둘째까지 낳는 사람들 지원 받는걸 보며 한명 낳은 사람들도 혹할 수 있다. 셋도 마찬가지다. 이러한 이유 뿐만 아니라 둘,셋 키우는게 하나 키우는 것보다 2,3배 힘든 게 아니라 제곱으로 힘들다. 그래서 효율적으로 이게 맞다. 
가끔 안낳고 딩크로 사는 부부들이 있다. 이사람들은 뭘 해도 안낳는다. 그냥 두자.
요지는 첫째 지원 줄이고 둘째부터 지원을 크게 늘려서 효율적으로 출산률을 늘려보자는거다</t>
  </si>
  <si>
    <t>효율적 출산률 증가 및 다자녀가구 지원 강화</t>
  </si>
  <si>
    <t>1. 안녕하십니까? 보건복지부 인구정책총괄과입니다. 귀하께서 국민신문고를 통해 제안하신 민원에 대한 검토의견을 아래와 같이 알려드립니다.
2. 귀하께서는 저출산 해결 방안으로 2자녀 이상 다자녀 가정에 대한 지원 강화를 건의하신 것으로 이해됩니다.
3. 귀하의 제안은 혼인한 부부 중 자녀를 희망하는 부부는 최소 1자녀는 낳고, 딩크를 희망하는 부부는 아예 낳지 않을 것이기 때문에 자녀를 희망하는 부부가 더 낳을 수 있도록 추가출산에 대한 인센티브를 부여하는데 집중하자는 취지로 생각됩니다. 그러나, 2021년 신혼부부통계에 따르면 혼인 5년차 신혼부부의 경우에도 22.4%가 자녀가 없는 것으로 나타나는 등 첫째 출산부터 포기하는 부부가 늘어나고 있습니다. 자녀를 원하지 않는 부부에 대해 어차피 낳지 않을 것이라 생각하고 정책적 지원을 축소하는 것은 신중할 필요가 있을 것이라 생각됩니다. 또한 첫째를 낳고 얻을 수 있는 혜택이 추가출산으로도 연결될 수 있다는 점도 고려할 필요가 있다고 생각됩니다. 
4. 그런 점에서 정부는 출생순위와 소득에 관계없이 모든 아동에 대해 보편적인 지원을 하여 첫째 출산의 부담을 덜고자 노력하고 있음을 양해해 주시기 바랍니다.
5. 그럼에도 제안해주신 취지를 감안하여 한정된 예산 하에서 보다 효과적이고 체감도 높은 다자녀 가구 지원방안을 찾을 수 있도록 여러 대안들을 지속적으로 검토해나가겠습니다. 
6. 귀하의 가정에 평안과 행복이 깃드시길 바라며, 기타 문의사항이 있으신 경우 보건복지부 인구정책총괄과(044-202-3367) 또는 보건복지콜센터(국번없이 129)로 연락주시면 안내드리겠습니다. 감사합니다. 끝.</t>
  </si>
  <si>
    <t>저출산 (대한민국 0.8%)의 OECD 최저 심각하고 개탄스러운 상황에 대한 해결책 말씀드립니다.</t>
  </si>
  <si>
    <t>대한민국은 21년 기준 OECD 회원국 중 꼴지 출산율 국가입니다. 23년 현재는 더 하락했을 가능성이 큽니다. 23년 현 정부에서 이것저것 출산율 극복을 위한 많은 제도들을 도입하고 있어 감사합니다. 하지만 제가 30대 워킹맘으로써 직면한 여러 문제들과 "현실적인" 개선방안을 제안하고자 하오니 적극 검토 부탁드립니다.</t>
  </si>
  <si>
    <t>1. 재택근무 도입 : 금일 기사에는 서울시에서 아기가 아프면 정부에서 돌봄도우미가 나와 아이를 직장맘을 대신해 아이를 케어해주는 제도 도입을 할 예정이라고 합니다. 이는 너무 좋은 제도이지만, 현실적으로 도입되더라도 이용자는 거의 없을 것입니다. 아이에게 낯선사람을 맡기는거 자체가 불가능하고, 아이도 분명 낯설어 할 것입니다. 현실적이지 않은 제안은 도입 전에 개선하는것이 국가로서, 국민으로서 비용낭비하지 않는 방법입니다. 
아이가 한달에 한두번씩은 꼭 아픕니다. 기관을 다니기때문에 전염되는 경우가 많습니다. 이 경우는 일시적 재택근무를 하게 해줘야합니다. 실질적으로 휴가를 갑자기 내기 힘듭니다.  같은 일을 하는 직원이 이미 휴가를 쓰고 있다면 갑자기 휴가들어가기가 힘들기 때문입니다. 한달 한두번 정도만 재택근무를 하는것에 대해서는 회사도 직원도 큰 무리 없습니다.
더 나아가 필요하다면, 1 주든 한 달이든, 아기를 케어할 수 있도록 재택근무를 유연하게 사용할 수 있게 도입하여야 합니다. 
2. 시차근무제 / 단축근무제 활성화 : 아기가 기관을 다니기 때문에 아침, 저녁으로 도우미가 있으면 되나 실질적으로 아침 저녁 도우미를 쓰는것은, 풀타임으로 쓰거나, 다른 도우미를 써야해서 아이 정서면에서도, 금전적인 면에서도 힘듭니다. 따라서 등원은 엄마 또는 아빠가 저녁 하원만 도움을 줄 수 있는 도우미가 있도록 해야합니다. 그렇다면 아침은 엄마 또는 아빠가 등원을 해야하는데 대부분 출근시간과 겹칩니다. 많은 회사에서 시차출퇴근제를 도입하고 있으나 실질적으로 쓰기 힙듭니다. 회사 눈치, 동료눈치를 볼 수 밖에 없기 때문입니다. 이는 정부가 해결 해줘야하는 문제입니다. 시차 출퇴근제 또는 단축근무제를 쓰는것에 대해 어떤 패널티도 없어야 합니다. 이미 단축근무를 하면 월급을 적게받을 뿐더러, 시차 출퇴근은 늦게 출근한 만큼 늦게 퇴근합니다. 어떠한 불이익이나 눈치 보는 일이 없어야합 니다. 만약 이런 제도 사용으로 눈치를 주는 부서장이 있다거나, 이러한 제도를 사용하면 회사에서 성과를 달성하고 일도 잘 하고 있는 직원에게 불이익을 준다면 신문고 (직장맘,아빠제도) 등 사이트를 운영하여 적극 그 회사에 대해 신고하고, 사실 관계 확인 후 회사에 패널티 (세금 징수) 등을 물수 있도록 적극적 행정이 필요합니다. 시차출퇴근제든, 단축근무제든 있지만 쓰기 힘든 허울뿐인 제도는 아무 의미가 없습니다.
3. 허울뿐인 어린이집 시간 : 어린이집 규정된 공식적인 시간은 오전 7:30 ~ 오후 7:30분 (야간반 운영시 9:30) 입니다. 그러나 실질적으로 아기를 오전 9시 전에 맡기게 되면 어린이집 선생님, 원장님 표정부터 굳습니다. 또한 야간반이 있더라도, 심지어 7시30분까지가 공식적 운영시간임에도 불구하고 7시30분에 아기를 찾으러 가면 매우 굳은 표정에, 우리아이 미워하지 아니할까 두렵습니다. 이런 이유로 대부분 어린이집이 7시30분까지 운영함에도 불구하고 4시에 픽업 하원 도우미를 쓰는 것입니다. 어린이집 입장에서도 제한된 인력으로 7시30분까지 아이들을 보기 힘들어서 그럴 것입니다. 
이를 해결하기 위해, 4시 이후는 경력단절 여성들 아르바이트제도입을 제안합니다. (육아노하우가 충분할 것입니다) 경력단절 여성들은 다른 업종의 일을 다시 하기 어려운 상황이지만 일을 하고 싶어하는 엄마들이 많습니다. 이들에게 기회를 주고, 어린이집도 워킹맘들도 좋은 1석 3조의 제도입니다. 4시 이후 몇명 아르바이트가 투입되면 아이들이 4시 이후 ~ 9시까지도 눈치보지 않고 있을 수 있습니다. 
막상 제도를 도입해도 엄마들은 다른 아이들은 4시에 픽업하는데 우리아이만 두면 맘아파서 두지 못하고 하원 도우미를 쓸 것입니다. 이를 개선하기 위해 4시부터는 재미있는 놀이나 국가에서 운영하는 전문적인 영아 교육 시스템 도입 등 (경력단절여성들에게 교육하여 어린이집에서 활용 할 수 있도록 정책운영)으로 아이를 일부만 두는 것이 아닌 모두가 둘 수 있게 해야합니다. 
또한 어린이집도 아기를 일찍맡기고 늦게 데려온다해서 눈치주거나 타박주는 일이 없도록 철저히 정부에서 관리, 제안제도 운영, 신고제도 운영하여야 합니다.
4. 영아 부모 휴가일수 증대 : 영아를 가진 부모는 회사에서 휴가일수를 더 부여 해야합니다. 아기가 아프거나, 어린이집 방학 (여름, 겨울 각 1주일씩 있음) 기간에는 모든 회사 휴가를 반납 해야합니다. 실질적으로 부모 스스로를 위한 휴가를 쓸 수 없습니다. 이렇게 희생만 강요하도록 되어있는 사회에서 누가 아기를 낳고 싶을까요. 제 휴가도 제 맘대로 못쓰고 여행가고싶어도 못가고 아이가 아픈날을 대비해 휴가를 축적해 놓아야하는 것이 현실입니다.</t>
  </si>
  <si>
    <t>이 제도 도입시 출산률이 크게 증가할 것임을 확신합니다.
아기를 낳으면 돈을 준다와 같은 표면적인 제도는 아무런 도움이 되지 않습니다.
장기적으로 아기를 정말 케어할 수 있도록 실질적 개선이 중요합니다.
육아휴직을 쓰거나, 시차출퇴근, 단축근무등을 사용한다고 해서 회사 커리어에 불이익 (한직 발령, 승진누락)등이 되지 않도록 개선하는 것이 가장 중요하고 근본적인 해결책입니다. 이것을 해결해 줄 수 있는 것이 정부입니다. 회사에서 그러한 사례가 발생하지 않는지 감시하고 제안을 받고, 신고를 받고 해결해 주는 역할을 해주셔야합니다.
여자들도 일하고 싶고 본인의 경력을 쌓고 싶습니다. 회사에서 인정받고 싶고 사회에서 인정받고 싶습니다.
능력있는 여자들이 포기하는것은 큰 국력 낭비입니다. 여성이 맘놓고 일할 수 있는 환경이 만들어지면 무조건 출산율은 개선됩니다. 이 근본적이고 기본적인 욕구가 해결되지 않으면 아무도 아기를 낳지 않는, 대한민국은 이제 사라져버리는 국가가 될 것입니다.</t>
  </si>
  <si>
    <t>1. 안녕하십니까? 귀하께서 보건복지부 업무와 관련하여 제안하신 사항에 대해 안내드립니다.
2. 귀하의 제안 내용은 '어린이집 야간연장 보육'에 관한 것으로 이해됩니다.
3. 귀하의 제안에 대해 검토한 의견은 다음과 같습니다.
가. 우리부는 기본보육 시간 이외에도 부모의 맞벌이 등을 이유로 보육이 필요한 아이들을 위해 기준보육시간(07:30~19:30)을 경과하여 최대 24:00까지 연장하여 보육하는 야간연장 보육을 실시하고 있습니다.
나. 보육교사는 영유아보육법 시행령 제21조 별표 1에 해당하는 자로서 보건복지부 장관이 검정·수여하는 국가자격증을 받은 자이어야 함을 알려드립니다. 
다. 또한, 영유아보육법 시행규칙 별표 9에 따라 어린이집 운영일 및 운영시간을 위반한 경우에는 행정처분의 대상이 되며, 어린이집에 대한 행정처분의 권한이 있는 관할 지자체나 어린이집이용불편·부정신고센터(www.childcare.go.kr, 메뉴 :어린이집 → 어린이집이용불편·부정신고센터, 문의번호 1670-2082)에 신고할 수 있습니다. 
4. 추가 문의는 보건복지상담센터(☏국번없이 129) 또는 보육기반과(☏044-202-3582)로 연락주시면 친절히 안내해 드리도록 하겠습니다. 감사합니다. 끝.</t>
  </si>
  <si>
    <t>출산 및 양육 장려 방안</t>
  </si>
  <si>
    <t>현황
우리나라의 인구 증가율이 세계에서 제일 적은 나라로 되면서 큰 걱정거리가 됐다.
급기야 대통령께서는 인구 장려책에 큰 관심을 갖고 정책을 펴려고 하고 있다. 지난 정부에서도  많은 관심을 가지고 정책을 펴 왔지만 성과를 거두지 못하고 예산만 크게 낭비했다.
문제점
정부의 장려정책이 성공하지 못한 문제점은
첫째, 국회, 정부의 예산 집행 초점이 보육시설 기관에만 의지 하였기 때문이다.
둘째, 출산을 하지 않는 이유를 정확히 파악하지 못하고 정책을 폈다.
셋째, 뚜렷하고 일관된 육아 정책이 없다.
넷째, 출산 인구인 청년이 행복한 육아와 가정생활을 꿈꾸게하는 희망을 주지 못하고 있다.
다섯째, 청년이 출산을 하지 못하는 이유를 정확히 모르고 있다.</t>
  </si>
  <si>
    <t>이제 인구 절벽의 시대에 맞는 정책으로 출산과 육아는 정부가 관리 책임을 져야한다. 
획기적인 개선 방안으로는
1. 정부 예산 중 출산 육아비는 한 부서에서 일관성있게 지급해야한다. 
   부서마다 또는 지자체 등 여러 방향에서 하지 말고 한 부서에서 맡는다.
2. 예산을 보육기관에 내보내지 않고 부모에게 직접 주어 부모가 보육기관을 선택하게 한다. 
    그래야 보육기관 경쟁력을 높인다.
3. 출산 여성에게 3년간 유급휴직을 원칙으로 한다. 
    복직시 모든기관, 사업체에서 한계급 승진을 원칙으로 한다. 그에 따른 원칙은 모든기관, 사업체가 일관성 있게 지킨다.
4. 출산휴직 부모에게 3년간 월 200만원 지급한다.
    3~6세 까지는 월 150만원 지급
    초등학교 1학년~3학년까지 -  방과 후 학교 및 보육기관 무료
5. 첫 출산 부모에게 주택 공급 - 10년간
    두 자녀  -   20년간 무료
    세자녀 이상 -  영구 임대
6. 이상과 같은 출산 및 육아에 대한 원인, 대책은 모든 국민의 생각을 모아 정책을 세운다.
7. 의견 모으기 - 시간이 걸리더라도 전 국민에게 의견을 공모하여 가장 적합한 의견을 모은다.</t>
  </si>
  <si>
    <t>정확한 국민의 의사를 알아 내어 정확한 대책을 수립할 수 있다.
1. 출산과 육아의 과정에서 얻어지는 부모의 행복감과 가족의 소중함을 온 국민이 누리게 할 수 있다.
2. 경제적 이유로 결혼과 출산, 육아를 미루는 청년층이 일찍 결혼을 하여 행복을 누리게 할 수 있다.
3. 만혼에 따르는 출산과 육아의 폐해를 줄일 수 있다.
4. 인구가 증가하여 국가의 경쟁력이 강화되고 미래에 희망이 있다.
5. 여성의 자아실현을 돕고 노부모가 손자녀 육아의 노동력에 휘말리지 않게 된다.
6. 자기 자녀는 자기가 키워 자녀의 자녀의 정서적 안정과 부모의 행복감이 높아진다.
6. 가정이 안정되어 사회의 기초단위인 한 가정이 안정되어 전사회 국가가 안정되게 된다.</t>
  </si>
  <si>
    <t>1. 안녕하십니까? 보육정책에 관심을 가져 주셔서 감사드리며, 귀하께서 국민신문고를 통해 제기하신 제안(1AB-2301-0007634)에 대한 검토 결과를 안내드립니다. 
2. 귀하의 민원 내용은 "부모에게 직접 보육 예산 지원"에 관한 것으로 이해되며 다음과 같이 알려드립니다
○ 어린이집에서 영유아에게 보육서비스를 제공 시 지원되는 보육료는 정부지원보육료, 부모부담보육료로 구성되어 있습니다. 
  - 정부지원보육료는 부모보육료와 기관보육료가 해당되며, 부모보육료는 어린이집에 다니는 만0∼5세 아동의 부모에게 바우처로 지원되고, 기관보육료는 정부 인건비 미지원 어린집(민간, 가정 등)에 대해 만0∼2세 및 장애아동 보육 시 지원하는 보조금으로 지원하고 있습니다.
  - 부모부담보육료는 3~5세 민간, 가정 등 정부 인건비 미지원시설의 누리반(3~5세반)만 수납할 수 있음을 알려드립니다.
○ 따라서 현재도 부모에게 직접 보육기관을 선택하도록 보육료를 바우처 형태로 지원하고 있으며, '23년 만0세는 부모급여 70만원을 지급받고 이를 통해 보육기관을 직접 선택할 수 있도록 하고 있습니다.
○ 향후 부모의 선택권을 더욱 넓혀 귀하의 제안이 정책에 반영될 수 있도록 중장기적인 검토를 하도록 하겠습니다.
3. 안내해드린 사항에 추가 문의 사항이 있으시면 보건복지부 보건복지콜센터(국번없이 129) 또는 보육사업기획과(044-202-3563)로 연락주시기 바랍니다. 감사합니다. 끝.</t>
  </si>
  <si>
    <t>출산율을 높이기 위한 제안</t>
  </si>
  <si>
    <t>1.문제점
1)출산율이 낮아 인구 감소가 심각함
2)출산율 제고를 위해 중앙 정부 및 지방자치단체에서 많은 예산을 집행중임
3)수 많은 정책과 노력에도 불구하고 성과를 이끌어내지 못하고 있음
4)출산 장려금을 중구난방으로 지급하고 있음
2.제안
  선택과 집중전략으로 출산 장려금을 산발적으로 지급하지 말고 둘째 아이를 출산하면 파격적으로 1억원을 지급함</t>
  </si>
  <si>
    <t>제안
선택과 집중전략으로 출산 장려금을 산발적으로 지급하지 말고 둘째 아이를 출산하면 파격적으로 1억원을 지급함</t>
  </si>
  <si>
    <t>출산율 증가가 기대됨</t>
  </si>
  <si>
    <t>1. 안녕하십니까? 보건복지부 인구정책총괄과입니다. 국민신문고를 통해 검토 결과를 다음과 같이 알려드립니다.
2. 귀하께서는 저출산해결을 위해 지자체별 출산지원금 통합하여 둘째아이 출산시 1억원 일시지급을 건의하신 것으로 이해됩니다.
3. 출산, 양육에 대한 경제적 부담 완화를 강조하신 귀하의 의견에 공감하며, 이에 정부는 출생순위와 소득에 관계없이 모든 아동에 대해 보편적인 지원으로 경제적 부담완화를 위해 아래와 같은 정책을 추진하고 있습니다.
 1) 첫만남꾸러미Ⅰ : 임신,출산 의료비 바우처 100만원 지원(‘22년부터)
 2) 첫만남꾸러미Ⅱ : 출생시 아동당 200만원 지원 (’22년 출생아부터 지원)
 3) 아동수당 : 보육시설 이용여부 관계없이 만8세 미만 아동에 월 10만원 지원
 4) 부모급여 : 만0세에 70만원, 만1세에 월 35만원(‘23년 기준)지급하되, ▲가정양육시 현금지급, ▲어린이집 재원시 만 0세는 보육료바우처+현금, 만1세는 보육료 바우처로 지급
  *'23년 도입된 영아수당이 부모급여로 명칭 변경 및 지원 확대
 5) 가정양육수당: 보육시설 미이용 만2~7세 아동에 월10만원 지원(‘22년 이전 출생아에 적용)
 6) 보육료지원 : 보육시설 이용 아동에 시설이용료 바우처 지원(’22년 이전 출생아에 적용)
※ 상기 제도는 자녀순서 및 소득수준에 관계없이 모든 아동 1명에게 동일 지원
4. 다만 정부의 저출산 정책은 비용지원 외에도 어린이집 등 돌봄 지원, 육아휴직에 대한 지원 등 다양한 정책수단을 통해 이뤄지고 있어, 귀하께서 요청하신 2째아 이상에 대한 1억원 지원 정책은 재원투입의 우선순위나 정책효과성 등을 고려하여 이뤄질 필요가 있다고 생각됩니다. 정부는 앞으로도 출산, 양육의 양육부담완화를 위해 귀하의 제안을 포함한 다양한 정책대안을 지속 검토하겠습니다. 
5. 귀하의 가정에 평안과 행복이 깃드시길 바라며, 기타 문의사항이 있으신 경우 보건복지부 인구정책총괄과(044-202-3367) 또는 보건복지콜센터(국번없이 129)로 연락주시면 안내드리겠습니다. 감사합니다.</t>
  </si>
  <si>
    <t>최단기간 내 저출산 해결 및 부동산시장 활성화 방안</t>
  </si>
  <si>
    <t>현재 저출산 문제가 심각함에도 불구하고 획기적인 정책이 나오지 않고 있으며 지자체 및 어린이집 등 각종 기관 및 단체별로 저출산 예산이 흩어져 있어 예산 투입액 대비 실질적으로 아이를 낳는 가정에 체감이 안됨. 부가적인 효과로 부동산 시장 활성화.</t>
  </si>
  <si>
    <t>출산 혜택을 보조금(각종수당) 또는 부동산 이자 지원금 중 택1
[부동산 이자 지원금 선택시]
1자녀 : 주택마련자금 5억원 이내 전액 대출 / 연 고정이자 2%
대출연장기간 10년이내
2자녀 : 주택마련자금 7억원 이내 전액 대출 / 연 고정이자 1%
대출연장기간 20년이내
3자녀 : 주택마련자금 10억원 이내 전액 대출 / 연 고정이자 0%
대출연장기간 30년이내 (3자녀이상은 원금만 매월 상환)
단, 무주택자 또는 3억이하 1주택자만 신청가능(다주택 소유 불가)
[양육 보조금 선택시]
1자녀 : 월 70만원(만7세까지 지급)
2자녀 : 월 120만원(만 14세까지 지급)
3자녀 : 월 170만원(만 20세까지 지급)
기존의 체감되지 못했던 저출산 대책 및 지원금 상당수 폐지
예) 어린이집지원금, 지자체별 특화된 지원정책
사용처 제한 : 유흥업소, 명품매장, 귀금속매장 등</t>
  </si>
  <si>
    <t>둥지가 없기 때문에 알을 낳지 않는다 라는 말이 있듯
보금자리가 보장이 된다면 자연스레 출산율이 올라갈것.
출산율 증가로 인한 경제력 상승 효과 및 국민연금, 건강보험 재정유지, 지방 소아과 전문의 활성화, 지역경제 분배 활성화, 부동산 활성화가 기대됨
지원금 부정수급 또는 부동산 매매 제한사항등 기타 상세 내용은 추가 제정</t>
  </si>
  <si>
    <t>1. 안녕하십니까? 귀하께서 국민신문고로 제기하신 민원(1AB-2301-0010851)에 대한 검토 결과를 안내드립니다.
2. 귀하의 민원내용은 아동수당 지급대상 연령 확대 및 금액 증액과 관련한 것으로 이해됩니다.
○ 정부는 아동 양육의 경제적 부담을 경감시키고 아동의 건강한 성장환경을 조성하여 아동의 기본적 권리와 복지 증진을 위해 2018년 9월 아동수당을 도입*하였고, 현재 만 8세 미만 모든 아동에 대해 매월 10만 원 아동수당을 지급하고 있습니다.
* ’18.9월부터 소득 하위 90% 가구의 만 6세 미만 아동 지급, ’19.4월부터 소득, 재산조사 없이 모든 만 6세 미만 지급, ’19.9월부터 만 7세 미만, ’22.1월 만 8세 미만 아동으로 확대
○ 지급 대상 연령확대및 금액 증액은 재정소요를 감안하여 사회적 논의를 거쳐 법률 개정을 통해 실행 가능한 사항으로 현재 정책반영은 어렵다는 점을 양해하여 주시기 바랍니다.
3.기타 궁금한 사항은 보건복지부 보건복지콜센터(국번없이 129) 또는 아동복지정책과(044-202-3420)로 문의주시면 친절히 답변드리겠습니다.</t>
  </si>
  <si>
    <t>국민연금 및 출산률에 관한 제안</t>
  </si>
  <si>
    <t>기설계된대로 국민연금의 고갈은 현행을 유지할 시 예정되어 있음.
극악의 출산율로 인하여 자연소멸위기국가에 이름을 올리고 있음.</t>
  </si>
  <si>
    <t>국민연금의 비율상승이 불가피한 상황이며, 출산율의 상승도 동반되어야 국가적인 문제를 해결 할 수 있을 것으로 생각됨.
하여 국민연금의 기본납부율을 현행 기점으로 추가로 필요한 납부율과 자녀수를 연동하여 부가하는 방법을 제안함.
예를들어 현재 국민연금의 비율이 소득대비 10%, 국민연금의 고갈을 막기위하여 필요한 비율이 소득대비 20%일 경우 만 35세 이하의 국민은 현행 유지(10%), 35세 이상의 국민 중 자녀가 없는 국민은 변경 적용(20%), 자녀 1명당 5%씩 감면, 2명일 경우 현행유지, 3명 이상의 경우 비율을 조정하여 감면(추가 1명당 2%등) 혜택은 동일 적용.(국민연금 수급 시 10%납부 기준으로 수령). 해당 안을 제안 드립니다.</t>
  </si>
  <si>
    <t>자신의 미래와 국가의 미래를 책임져 줄 자녀를 낳지 않았기에 그에 해당하는 페널티가 있어야 한다고 생각됨. 또한 현행 유지 또는 어떠한 개선방안 없이 국민연금의 납부 비율을 상승시켰을 시 자녀를 가지고 있는 가정에 더 많은 페널티가 부과된다고 생각됨. 해당 제안을 통하여 평등한 페널티 및 평등한 보상을 통한 출산 장려를 할 수 있을 것으로 생각됨. 또한 사람은 보상을 받는 것 보다 불이익을 받는 것에 더 민감하게 반응하므로, 미출산으로 인한 페널티 부과 시 출산율에 긍정적인 작용을 할 수 있을 것으로 생각됨.</t>
  </si>
  <si>
    <t>1. 국민연금정책에 많은 관심을 가지고 국민제안을 올려주셔서 감사합니다.
2. 귀하께서는 자녀수와 연동한 국민연금 납부비율 차등 등의 국민연금 개혁방안을  건의주셨으며, 다음과 같이 검토 결과를 회신드립니다.
 ○ 국민연금 기금 소진에 대한 국민적 우려와 개혁 필요성에 대해서도 정부는 적극 공감하고 있으며,
  - 다만, 국민연금은 국민의 노후소득보장을 책임지는 중요한 사회보장제도로서, 보험료율 변경 등의 제도 개편은 충분한 논의와 사회적 합의가 있어야 가능하다고 사료됩니다. 
 ○ 이를 위해 정부는 국민연금법 제4조에 근거하여 매 5년마다 국민연금의 재정상황을 점검하고 제도 개선방안을 마련하기 위한 재정계산을 실시하고 있으며,
  - 현재 추진 중인 제5차 재정계산을 바탕으로 국민연금 장기 재정전망을 점검하고 사회적 논의를 추진중으로,
  - 이를 통해 재정적 균형과 안정적 노후소득을 보장할 수 있도록 다양한 제도 개선방안을 검토하고 사회적 합의를 기반으로 연금개혁방안을 마련해나가겠습니다..
 ○ 또한, 제안해주신 바와 같이 저출산에 대한 대책으로 출산 등의 사회적 가치가 있는 활동 등에 대해서 정부 차원에서 일정 혜택을 부여하는 것에 공감하고 있으며,
  - 현재도 자녀 출산 시 국민연금 가입기간을 추가로 인정해주는 크레딧 제도를 시행 중으로, 제도 확대 및 개선 등에 대해서는 국민연금 개혁과 연계하여 논의해나가도록 하겠습니다.
3. 다시 한번 국민연금 정책에 대한 귀하의 소중한 의견에 감사드리며, 상기 회신 내용에 대해 추가 문의 사항이 있는 경우 국민연금정책과(044-202-3604)로 연락주시면 안내드리도록 하겠습니다. 감사합니다.  끝.</t>
  </si>
  <si>
    <t>저출산대책을 위한 제언</t>
  </si>
  <si>
    <t>최근 신문기사에 oecd국가에서 출생율이 최하로 나타나서 저출산대책회의를 한다고 들었습니다. 
오전재택근무등 육아를 위한 현실적인 대책에 큰기대를 갖고있습니다만 정작 가장 원초적인 문제점인 출산율 확대를 위한 대책도 확대를 부탁드립니다.
그러나 저는 현재 제주도에 거주하며 서울을 오가며 난임치료를 받고있는데 난임병원에보면 정말많은 부부가 아이를 원하는 것을 지켜보고있습니다.
이에 난임지원을 확대한다면 아이를 원하는 부부에게 큰도움도되며 국가의 저출산대책에도 크게 기여할것으로 생각이 듭니다.
이에 현실적인 대책마련을 위해 몇가지 의견을 제시합니다.</t>
  </si>
  <si>
    <t>1.난임관련 커뮤니티 또는 병원이용객 대상에 지원대책을 위한 설문조사  실시
-지금 지원의 문제점이 뭔지 무엇이 부족하고 무엇이 필요한지를 알수있다고 생각합니다.
2. 난임국가지원 혜택확대
-1회시험관시 3~500백만원가량이 소요됩니다.
그러나 현재 횟수도 제한적이고 비용도 부족하고 일반적인 급여가 많지않은 회사원인데도 건보료기준의 지원대상에 선정되기도 너무 어렵습니다.
-관광호텔에지원하는 국가1년예산이 125조억원대인데 난임에는 13조억원대란점이 참 아이러니 합니다.
https://www.joongang.co.kr/article/24087630
3. 난임관련 휴가 확대
-공무원의 경우 난임도 질병으로 휴가를 받을수있어 1년간은 월급의 70%도받고 하는데 제가 근무하는 공기업에서는 흔한 유급 병가 1일도 해당되지않습니다.
지금제가 1월말부터 2월 현재까지 상담 진료 과배란처방 난자채취까지 1회 시험관의 절반수준을 진행했을뿐인데 제주-서울을 오가기위해서 쓴 비행기비용은 200만원에 달하고 연차는 벌써 10일가량을 사용했습니다.
난임이기에 푹쉬고 준비를 해야하지만 회사는 병가로도 인정해주지않을정도로 인식 수준이 매우 낮습니다.
현재 법적으로 난임휴가는 3일뿐이고 그중에 1일만 유급으로 저것은 1회 시험관도 진행못할 수준입니다.
  난임부부들이 좀더 용기를 낼수있도록 부부 모두에게 휴가 확대 및 유급병가지원등도 검토 부탁드립니다.
보다 현실적인 대안으로 큰도움이 되는 지원에 대해서 기대가 매우크고 응원합니다.</t>
  </si>
  <si>
    <t>난임지원으로 저출산 극복 기반 마련</t>
  </si>
  <si>
    <t>1. 안녕하십니까? 귀하께서 국민신문고 국민제안을 통해 신청하신 제안 중 우리부(출산정책과, 보험급여과) 소관사항에 대하여 검토결과를 다음과 같이 답변 드립니다.
2. 귀하의 제안 요지는 '① 난임 지원 관련 설문조사 실시, ② 난임시술 국민건강보험 급여 횟수 제한 폐지, ③ 난임부부 시술비 지원사업 확대'에 관한 것으로 이해됩니다.
3. 우선 난임시술은 당초 비급여 시술이었으나, 2017년 10월 국민건강보험 적용을 통해 보험 가입자라면 소득수준에 관계없이 누구나 난임시술(자궁내 정자주입, 체외수정) 비용에 대한 보험혜택을 받을 수 있도록 하였습니다.
  - 아울러, 난임시술 건강보험 지원횟수 확대 및 연령제한 폐지, 사실혼 부부 지원, 만45세 미만 여성의 본인부담률을 일괄 30%로 인하하는 등 지원정책을 지속적으로 확대하고 있습니다.
  - 또한, 건강보험의 보편적인 지원에도 불구하고 저소득층 가구 등에 대해 건강보험 본인부담 비용을 보충적으로 지원하기 위한 '난임부부 시술비 지원사업'을 시행하고 있으며, 지원대상 및 지원액을 점차 확대하여 왔습니다.
  - 참고로, '난임부부 시술비 지원사업'은 정부의 재정분권 추진에 따른 지방이양 결정으로 2022년 1월부터 지방자치단체가 선정 기준 등을 자율적으로 결정하여 추진 중임을 알려드립니다.
4. 제안하신 내용과 관련하여 검토사항을 아래와 같이 답변드립니다.
  ① 난임 지원 관련 설문조사 실시(출산정책과)
    ○ 우리부(출산정책과)는 난임부부의 건강과 안전을 고려한 난임시술 정책 마련 및 개선을 위해 그간 여러 차례 설문조사 등을 실시하였으며, 앞으로도 현장 및 전문가 등의 의견을 지속적으로 수렴하여 난임부부를 위한 다각적인 지원방안에 대해 적극 검토해 나갈 것을 말씀드립니다.
  ② 난임시술 국민건강보험 급여 횟수 제한 폐지(보험급여과)
    ○ 국민건강보험은 가입자인 국민이 부담하는 보험료와 국고지원액을 재원으로 국민들의 질병·부상 등에 대해 보험급여를 실시함으로서 국민보건 향상 및 사회보장의 증진을 목적으로 하는 제도로서 한정된 재원으로 최적의 보험급여를 제공하고자 의학적 타당성과 급여의 적정성, 경제성 등을 고려해 건강보험의 적용을 받는 급여내용을 정하여 운영하고 있습니다.
      - 참고로, 현재 건강보험 내 특정 검사, 수술, 시술 등에 있어 급여 횟수 제한을 설정하고 있거나 비급여 진료가 일부 존재하는 부분은 난임시술만 해당 하는 것은 아니며, 암이나 희귀난치질환과 같은 증증질환에 이르기까지 유사한 취지로 운영하고 있습니다.
    ○ 즉, 난임시술의 급여 보장 횟수는 시술에 따른 신체적 부담, 임상적 유효성, 비용부담 등을 고려해 한정된 재원으로 다양한 질병 진단 및 치료를 보장하는 건강보험의 특성을 감안하여 보장 횟수가 설정된 것입니다. 다만, 주기적 평가와 저출산 환경에 대한 사회적 논의를 거쳐 그 범위는 지속적으로 확대하고 있습니다.
    ○ 아울러, 우리부(보험급여과)는 난임시술의 건강보험 적용 확대에 있어 추가로 필요한 부분들은 난임 관련 단체, 시술기관, 전문가 등의 의견을 수렴하여, 국민 건강에 미치는 영향 등을 종합적으로 고려해 검토하고 있으며, 귀하의 의견은 향후 정책개선 시 참고토록 노력하겠습니다.
  ③ 난임부부 시술비 지원사업 확대(출산정책과)
    ○ 위와 같이 건강보험 적용기준 및 지원사업 기준 확대 등 난임부부를 위한 지원정책을 지속적으로 확대하고 있으나, 아직도 난임시술에 대한 어려움이 많은 것을 알고 있습니다.
      - 귀하의 의견처럼 많은 난임부부가 어려움을 겪는 것에 대해서는 매우 안타깝게 생각하고 있으나, '난임부부 시술비 지원사업'은 저소득층 난임부부를 위한 보충적 지원사업으로서 부득이하게 소득수준(건강보험료) 등을 통하여 대상자를 선정하고 있음을 양해말씀드립니다.
      - 해당 사업의 소득기준 제한 폐지는 소요예산 및 지자체별 여건 등 종합적인 고려가 필요한 사안으로, 난임부부를 고려한 지원이 이루어질 수 있도록 여러 방안을 검토해 나갈 것을 말씀드립니다.
5. 출산정책에 대한 귀하의 관심과 의견에 감사드리며, 답변 내용에 대한 추가 설명이 필요한 경우 보건복지부 출산정책과(서영호 주무관, 044-202-3396) 및 보험급여과(이미선 민간전문가, 044-202-2741)로 문의하시면 친절히 안내드리도록 하겠습니다.  끝.</t>
  </si>
  <si>
    <t>저출산</t>
  </si>
  <si>
    <t>안녕하세요 저출산 관련되어서 제안할 내용이 있습니다. 2000년대 들어서 저출산이 확 심해졌습니다. 게다가 우리나라가 역대 최저 출산율입니다. 0.5가 말이 안됩니다. 그리고 교대 경쟁률이 뚝 떨어지고 농촌 학교들도 폐교되고 있습니다. 김대중 정부때부터 약속해온 저출산이 지금 까지도 제대로 이루어지지 않아서 큰 효과에 미치지못하고 있습니다. 최근에는 유아 정책 관련되어서 시행한다고 했는데 아직 갈길이 멉니다. 한덕수 국무총리도 사과까지 했는데도 저희는 아직 제대로 마침표를 찍지도 않았습니다. 10년뒤면 더 심해질수도 있습니다. 지금이라도 노력을 하지 않으면 우리나라가 경제력이 별로 없을것입니다.</t>
  </si>
  <si>
    <t>1. 보육시설 확대 및 세금을 줄여주었으면 좋겠습니다. 자녀를 키우는데 돈이 많이 들잖아요 육아지원도 제대로 받지 못하면서 자녀 키우기가 어려운 상황입니다. 보육시설을 늘려도 아무런 효과가 없기 때문입니다.
2. 아동수당제도를 확대해주었으면 좋겠습니다. 아동수당제도를 기존이 10 이면 30정도로 확대해주었으면 좋겠습니다
3. 육아지원금도 확대해주었으면 좋겠습니다</t>
  </si>
  <si>
    <t>개선방안과 같이 실행하면 우리나라는 더 좋은 미래가 될것입니다. 큰 걱정도 해소될것입니다. 예를 들면 프랑스에도 지금과 같이
이런 노력을 했는데 1.65 에서 2.05로 확 올라갔습니다. 이번 정부의 목표는 저출산 대책 마련을 꼭 시행해주세요!!!</t>
  </si>
  <si>
    <t>접수번호 1AB-2302-0009909에 대해 아래와 같이 회신하고자 합니다.
- 아 래 -
1. 안녕하세요. 보육정책에 관심을 가져 주셔서 감사드리며 제기하신 제안에 대하여 아래와 같이 안내드립니다.
2. 귀하의 제안 내용 가운데, 보육시설 관련 사항은 "국공립어린이집 확충 추진 필요"에 대한 내용으로 이해됩니다.
3. 귀하의 질의사항을 검토한 결과 다음과 같이 안내드립니다.
 ○ 저출산 극복을 위해 양질의 공공보육시설을 확충하여 양육의 사회적 책임을 확대해야한다는 귀하의 의견에 공감하는 바이며, 우리부에서는 부모 선호도가 높은 국공립어린이집 설치를 지원하여 공공보육 인프라를 확충하고 양질의 보육서비스 기반 조성을 추진하고 있습니다.
 ○ 이와 관련하여, 공공보육 이용률 지속 확대를 제4차 중장기보육기본계획에 포함하고, 지자체가 신축, 기존 시설 리모델링 및 매입, 장기임차 등 다양한 방식으로 국공립어린이집을 설치할 수 있도록 제도개선 및 예산 등을 지원하고 있습니다.
   - 특히, 국공립어린이집 신축이 어려운 지역에서는 기존 민간시설을 매입하거나 장기임차 및 리모델링비 등 지원을 통해 국공립으로 전환하도록 하고 있습니다.
 ○ 어린이집의 공공성 향상과 양육의 사회적 책임을 확대하기 위한 정책을 지속 추진하겠습니다.
4. 이밖에 궁금하신 사항이나 추가 질의가 있는 경우에는 보건복지부 보육정책과(권순우 주무관, 044-202-3542) 및 보건복지상담센터(국번없이 129번)로 연락주시면 안내해 드리도록 하겠습니다. 감사합니다. 
붙임  민원신청서 1부.  끝.</t>
  </si>
  <si>
    <t>저출산 시대  해외입양 칼럼을 보고 제안합니딘</t>
  </si>
  <si>
    <t>저출산시대 와 고령화 사회에 접어든 시대에  계속되고 있는 해외입양은 많은 문제가  있지 않나  싶습니다.</t>
  </si>
  <si>
    <t>출산정책은 많은 세금을 들여  장려하고 왜 아직도 해외  입양은  계속되고 있는지  정말 궁금합니다.</t>
  </si>
  <si>
    <t>입양되어야만 하는 아이들을  해외로 보내는  안타까운 일이  일어나지 않되록 국가 차원에서  올바른 정책을 기대한다.</t>
  </si>
  <si>
    <t>안녕하십니까. 입양정책에 관심을 가져주심에 감사드립니다, 귀하께서 국민신문고를 통해 제안하신 사항(신청번호 : 1AB-2302-0011217) 중 국외입양 중단과 관련한 사항에 대하여 다음과 같이 답변 드립니다.
○ 민원 요지 : 국외입양 중단
○ 답변 내용
  - 귀하께서 문제를 제기하신 사항에 대하여 공감하는 바이며, 우리 부에서는 보호대상아동의 국내입양을 활성화하고 국외입양을 줄여나가기 위하여 국내입양가정에 대한 양육수당 등 경제적 지원, 양육코칭 등 사후서비스 지원, 입양 인식 개선 캠페인 추진 등의 정책을 시행하고 있습니다.
  - 다만, 귀하께서 제안하신 국내 보호대상아동의 국외입양 제한 같은 사항은 아동 최선의 이익 원칙 고려 시 아동에 대한 국내 가정형 보호를 위한 기반을 충분히 갖추는 것과 함께 중장기적인 검토가 필요할 것으로 판단됩니다.
○ 답변 내용에 대한 추가 설명이 필요한 경우 보건복지부 아동복지정책과담당자(☏044-202-3414) 또는 보건복지콜센터(국번없이 129)로 연락 주시기 바랍니다. 감사합니다.  끝</t>
  </si>
  <si>
    <t>尹대통령 "국민 체감할 과감·확실한 저출산 대책 마련하라"/ 초일류적인 저출산 대책을 제안합니다.</t>
  </si>
  <si>
    <t>[속보]尹대통령 "국민 체감할 과감·확실한 저출산 대책 마련하라"
https://imnews.imbc.com/news/2023/politics/article/6462208_36119.html
인사혁신처, 초저출산 극복 위해 현장 목소리 듣다
https://www.msn.com/ko-kr/news/other/%EC%9D%B8%EC%82%AC%ED%98%81%EC%8B%A0%EC%B2%98-%EC%B4%88%EC%A0%80%EC%B6%9C%EC%82%B0-%EA%B7%B9%EB%B3%B5-%EC%9C%84%ED%95%B4-%ED%98%84%EC%9E%A5-%EB%AA%A9%EC%86%8C%EB%A6%AC-%EB%93%A3%EB%8B%A4/ar-AA18fFAv
"이게 진짜 로또다"…현대차 생산직 채용에 '10만 지원설'까지
현대차, 10년만에 생산직 채용…상반기 400명 규모
https://www.hankyung.com/economy/article/202302288060g</t>
  </si>
  <si>
    <t>초일류적인 저출산 대책을 제안합니다. 즉 현대자동차 생산직에 10만명이 몰리는 수준과 동일한 초일류적인 결혼 출산부부
지원책을 내놔서 현대자동차 생산직에 10만명이 몰리는 수준으로 대책을 내놔야 합니다. 
결혼해서 자녀를 3명이상 낳으면 부부는 아이양육에만 몰두 할 수 있도록
1, 주택 : 정부가 보유한 20년 장기임대 주택을 무상제공합니다.
2, 양육비, 생활비 : 정부가 부부가 모두 무직일경우 월200만~300만원의 생활비를 20년간 무상지급합니다.
                         부부가 원할시 정부가 부부의 20년간의 일자리를 우선 제공합니다.
3, 교육비: 아이들의 고졸까지 교육비를 무상 제공합니다.</t>
  </si>
  <si>
    <t>결혼과 다자녀 출산은 부부가 평생직업을 얻는 로또가 되도록 하여 저출산문제를 획기적으로 해결해야 합니다.</t>
  </si>
  <si>
    <t>1. 안녕하십니까 보육정책에 관심을 가져주셔서 감사드리며, 귀하께서 국민신문고를 통해 신청하신 제안에 대하여 회신드립니다.
2. 귀하의 제안 내용은 '20년간 양육비 지원 요청'과 관련한 것으로 이해되며 아래와 같이 답변을 드립니다.
ㅇ 정부는 출산이나 양육으로 인해 손실되는 소득을 보전하고, 영아기 돌봄을 두텁게 지원하기 위하여 부모급여를 도입하였습니다.
  * ('23) 만 0세 70만원, 만 1세 35만원('22년 출생아부터 적용)
ㅇ 귀하께서 제안하신 부부가 모두 무직일 경우 20년간 월  200~300만원의 양육비를 지급하는 것은 상당한 예산이 소요되는 사항으로 재정여건 및 사회적 여론 등을 고려하여 신중히 검토해야 할 사항임을 양해해 주시기 바랍니다.
3. 항상 저희 보육정책에 관심을 가져주셔서 대단히 감사드리며, 추가 문의사항이 있으신 경우 보건복지부 보건복지콜센터(국번없이 129) 또는 보육사업기획과(안혁재 주무관, 044-202-3572)로 연락주시면 성실히 답변드리겠습니다. 감사합니다.  끝.</t>
  </si>
  <si>
    <t>저출산대책</t>
  </si>
  <si>
    <t>심각한 저출산문제로 여러가지 지원방법등으로 추짐하나, 별 소득없이 미래는 암담한 현실이다.
에전에도 방안 제시 하였으나 정부에서도 아직도 안이한 돈으로 지원하는 방안 정도로 대처하고 있은니
젊은이들이 결혼을 미루고 결혼해도 아이를 갖기를 꺼리는 이유는 대체적으로 이러하다.
1, 결혼하여 집을 구하고 애기까지 낳는 비용부담이 가중하다.
2, 아이를 낳으면 누군가가 맞벌이 없이 육아에 매달려야 한다.
3,양쪽 부모님들중 누군가 봐주어야만 애를 맡기고 키울수 있는 조건.
4,막강한 사교육비 부담 등 
-어려움이 너무나 많다
:문제점은 0.75 출산점.</t>
  </si>
  <si>
    <t>1. 나라가 육아를 전담해 주어야 한다.
- 신생아를 맡기고 퇴근후 찾아가는 시스템 마련.
2, 유치원부터 고등학교 까지 - 의무교육화
3,첨차 전문대학까지도 의무교육화 하는 단계로
아이는 국민들이 낳고 키우는 부담은 정부와 지방자치단체가 전적으로 담당하는 시스템으로 가야만
젊은이들이 마음 놓고 결혼하고 아이를 갖일것이다.
- 육아시스템은 지난번 의견 제시 한바 있으니 참조 바람.</t>
  </si>
  <si>
    <t>출산율이 점차 나아질것으로 기대 확신한다.</t>
  </si>
  <si>
    <t>1. 안녕하십니까? 귀하께서 보건복지부의 업무와 관련하여 제안하신 사항에 대해 안내드립니다.
2. 귀하의 제안내용은 '어린이집 운영시간'에 관한 것으로 이해됩니다. 
3. 귀하의 제안사항에 대해 검토한 의견은 다음과 같습니다. 
 ○ 우리부는 기본보육 시간 이외에도 부모의 맞벌이 등을 이유로 보육이 필요한 아이들을 위해 기준보육시간(07:30~19:30)을 경과하여 최대 24:00까지 연장하여 보육하는 야간연장 보육(19:30~24:00)을 실시하고 있습니다.
 ○ 또한, 부모의 야간경제활동, 한부모 또는 조손가정 등의 불가피한 사유가 있는 경우, 주간보육(07:30~19:30)과 야간12시간보육(19:30~익일 07:30)을 모두 이용할 수 있는 24시간 보육도 제공하고 있음을 알려드립니다. 
 ○ 제도 개선을 위한 귀하의 제안에 감사드리며, 귀하께서 보내주신 의견은 향후 어린이집 운영 개선 등 보육정책 수립에 소중한 참고자료로 활용하도록 하겠습니다.
4. 답변 내용에 대한 추가 설명이 필요한 경우 보건복지상담센터(국번없이 129번) 또는 보건복지부 보육기반과(류새봄 주무관, 044-202-3582)로 연락주시면 친절히 안내해 드리겠습니다. 감사합니다.</t>
  </si>
  <si>
    <t>저출산대책 건의</t>
  </si>
  <si>
    <t>현재우리나라의 1년 출생아가 20만명대로 떨어졌다고 하는데
국가의 저출산 정책예산은 통틀어 얼마나 되는 건지요
젊은이들의 생각들이 결혼해서 아이를 낳는것 보다는  우선 경제적인 문제가 먼저인것 아닌가요
( 먹고살고 저축하고 전세또는 집장만이라도 하여야 결혼도 하게되죠 -결혼연령도 점점 높아지겠죠)</t>
  </si>
  <si>
    <t>제 개인적인 의견을 말씀드린다면 아주 쉽고 간단합니다
애기를 출산하면 한가정에 1억원씩 주면( 3명의 자녀를 낳으면 3억원이 되겠죠)
애기 3명을 출산하려면 약 3-5년이 걸리겠죠-3억원이면 집도 장만할수 있는 금액입니다
1년에 100만명의 아이가 태어난다면 인구수는 엄청 늘어 나겠지요
1년에 100만명에게 1억씩 지불한다면 총예산금액이 약 100조가 들어갑니다
그러나 예산이 문제가 되겠죠
우리나라의 1년 국가예산이 약 620조 정도로 알고 있습니다
현재의 저출산 정책에 투입되는 예산과 불필요하게 낭비되는 국가예산을 절감하고 각부처의 예산을
얼마씩  삭감한다면 예산은 확보가 되리라 봅니다</t>
  </si>
  <si>
    <t>젊은이들이 경제적인 문제를 덜어주는 효과로 결혼을 해서 아이를 낳게 될것이며(1-3명이상)
결혼 연령도 점차 낮아 질것으로 예상됩니다
앞으로 국가의최우선 과제는 인구감소를 줄이고 인구를 늘리는 것이라고 봅니다
 인구 감소로 인해 앞으로 고통받고 자라나는 어린세대에게 조금이라도 도움이 되었으면 하는 바램으로
일반 소시민의 생각으로 짧게 글을 올리며 끝까지 읽어 주셔서 감사드립니다 
모든 국가 통계자료를  잘 활용해서 연구해보시고 전문가들과도 깊이있게 토론하여 주셔서
정책에 반영이 되기를 기대합니다</t>
  </si>
  <si>
    <t>1. 안녕하십니까? 보건복지부 인구정책총괄과입니다. 귀하께서 국민신문고를 통해 신청하신 민원에 대한 검토 결과를 다음과 같이 알려드립니다.
2. 귀하께서는 저출산 대책에 있어 매월 출산가정에 적정한 양육지원금을 건의하신 것으로 생각됩니다.
3. 정부는 초저출산 추세 심화 상황을 엄중하게 인식하고, 결혼·출산·양육이 행복한 선택이 될 수 있는 사회 환경 조성을 위해 양육비용 부담 경감, 촘촘하고 질 높은 돌봄과 교육, 가족친화적 주거서비스, 임산부와 아동의 건강지원 강화, 일·육아 병행 지원 내실화 등을 위해 범부처적 정책대응 노력을 기울이고 있습니다.
4. 특히 양육비용 부담 경감을 위하여 임신·출산진료비 지원(국민행복카드 100만원), 고위험 임산부 및 아동에 대한 건강보험 본인부담 완화 등을 통해 의료비용 부담을 줄이고, 첫만남이용권(출생아 200만원 바우처), 아동수당(만 7세까지 월 10만원) 및 부모급여('23년 0세 월 70만원, 1세 월 35만원 →'24년 0세 월 100만원, 1세 월 50만원)를 지급하는 등 통해 양육비용 부담을 줄이기 위한 지원을 하고 있습니다. 이에 더해 지역별로 출산장려금을 추가로 지급하고 있음을 말씀드립니다.
5. 향후 귀하의 정책 제안도 고려하여 현재 지급중인 비용지원의 지원효과 등을 분석하고 체감도가 높은 방향으로 비용지원을 할 수 있는 방안을 지속 검토해 나가겠습니다.
6. 귀하의 가정에 평안과 행복이 깃드시길 바라며, 기타 문의사항이 있으신 경우 보건복지부 인구정책총괄과(044-202-3367) 또는 보건복지콜센터(국번없이 129)로 연락주시면 안내드리겠습니다. 감사합니다.  끝.</t>
  </si>
  <si>
    <t>이름만 저출산대책</t>
  </si>
  <si>
    <t>1남1녀 출산후 정관수술하여 아이들 기르다가 셋째출산계획으로 불임병원 찾아가 정자췌치하여 출산하려니 수술비용 및 검사비용이  너무 비싸서 좌절하고 포기를하여야 하나 고민중에 있습니다..  지원가능한지 여러방면으로 알아보았으나 지원이 어렵다는 답변만 받고나니 허탈할뿐입니다.. 정작 출산을 꺼려하는시기에 출산을 하려해도 한계에 다다르다보니 왜 출산을 안하는지 새삼 깨닫고 좌절을하는지 알게되네요</t>
  </si>
  <si>
    <t>불임지원에 대한 부분도 여러가지방면으로 확대하고 불임출산에대한부분 여자에 치중되어 남성 불임도 확대지원해야할듯합니다</t>
  </si>
  <si>
    <t>출산을 하고싶은 불임가정도 비용부담때문에 포기하지않고 아이를 가질수있고 돈때문에 출산을 포기하지않는 가정이 줄수있을듯합니다</t>
  </si>
  <si>
    <t>1. 안녕하십니까? 귀하께서 국민제안을 통해 신청하신 제안에 대하여 검토 후 다음과 같이 답변드립니다.
2. 귀하의 제안 요지는 '남성 난임 지원 확대'에 관한 것으로 이해됩니다.
3. 우선 현재 난임시술과 관련한 정부지원 등에 대하여 다음과 같이 안내드립니다.
  ○ '난임(難姙)'이란 부부가 피임을 하지 아니한 상태에서 부부간 정상적인 성생활을 하고 있음에도 불구하고 1년이 지나도 임신이 되지 아니하는 상태를 말하며(「모자보건법」 제2조제12호), 난임부부에게 시행되는 보조생식술*을 난임시술이라 규정하고 있습니다.
     * 자궁내정자주입 시술, 체외수정 시술
  ○ 난임시술은 당초 비급여 시술이었으나, 2006년부터 체외수정 시술비 지원을 시작으로, 2017년 10월 국민건강보험 적용을 통해 보험 가입자라면 소득수준에 관계없이 누구나 부부 모두 난임시술(자궁내 정자주입, 체외수정) 비용에 대한 보험혜택을 받을 수 있도록 하였으며, 지원횟수 확대 및 연령제한폐지, 본인부담률 인하 등 난임부부 지원정책을 지속적으로 확대하고 있습니다.
    - 아울러, 건강보험의 보편적인 지원에도 불구하고 저소득층 및 일부 중산층에 대해 건강보험 본인부담 비용을 보충적으로 지원하기 위한 '난임부부 시술비 지원사업'을 시행하고 있으며, 지원대상 및 지원액을 점차 확대하여 왔습니다.
  ○ 위에서 안내드린 "난임"의 조건에 해당되는 경우에는 이미 난임 진단검사 및 난임시술에 대한 국민건강보험 적용 및 보충적 지원을 시행하고 있으나, 개인의 선택에 따른 보조생식술에 대해서는 별도의 지원이 없음을 안내드립니다.
    - 난임을 진단받지 아니한 부부의 보조생식술 지원에 대해서는 법적·의학적 근거, 사회적 공감대형성 및 소요예산 등을 종합적으로 고려하여야 할 사안임을 양해하여 주시기 바라며, 향후 관련정책 수립시 함께 검토할 수 있도록 하겠습니다.
4. 답변 내용에 대한 추가 설명이 필요한 경우 보건복지부 출산정책과(서영호 주무관, 044-202-3396)로 문의하시면 친절히 안내드리도록 하겠습니다.  끝.</t>
  </si>
  <si>
    <t>저 출산문제</t>
  </si>
  <si>
    <t>지금시대는 자녀를 가지려 하지않습니다</t>
  </si>
  <si>
    <t>5명이상 출산시 국가유공자로 인정해주면 출산율이 높아지지 않겠습니까?</t>
  </si>
  <si>
    <t>출산률이 높아질것 같습니다</t>
  </si>
  <si>
    <t>1. 안녕하십니까? 보건복지부 인구정책총괄과입니다. 귀하께서 국민신문고를 통해 신청하신 민원에 대한 검토 결과를 다음과 같이 알려드립니다.
2. 귀하께서는 5명이상 자녀 출산시 국가유공자 인정을 건의하신 것으로 이해됩니다.
3. 정부는 그간의 출산장려 위주의 정책을 벗어나 모든 세대의 삶의 질을 높이는 정책으로 패러다임을 전환하고, 결혼·출산을 가로막는 사회구조 전반에 대한 근본적 개선을 통해 아이를 낳아 잘 기를 수 있는 사회환경을 구축하는 방향으로 정책을 추진하고 있습니다.
 ㅇ 다만, 다자녀 출산 가정·부부를 국가유공자로 인정하는 것은 기존 다자녀 출산자에 대한 소급적용 문제, 출산을 장려하는 것이 아닌 결혼·출산을 가로막는 사회구조 전반에 대한 개편을 진행하는 현 정책 목표 등을 고려하여 신중한 검토가 필요한 사항이라 생각됩니다.
4. 귀하의 가정에 평안과 행복이 깃드시길 바라며, 기타 문의사항이 있으신 경우 보건복지부 인구정책총괄과(044-202-3367) 또는 보건복지콜센터(국번없이 129)로 연락주시면 안내드리겠습니다. 감사합니다.  끝.</t>
  </si>
  <si>
    <t>출생률 개선방안</t>
  </si>
  <si>
    <t>대한민국 출생률 저하로
 장기적 경제 후퇴 가능성</t>
  </si>
  <si>
    <t>출생률 개선 대책 
1. 부모급여 확대
아이 한명당
부모에게 월 100만원씩 20년간 지급 
2. 이민청 신설, 재외동포청 신설
외국인 이민 1천만명 유입, 재외동포 국내유턴 촉진
외국인 이민 1천만명 유입시키고,
범죄자 유입은 차단. 
3. 한의 난임 진료 보장
한의원에서 한약, 약침 등의 난임 진료시에
정부지원, 건강보험 급여 
4. 여성 병역 의무제 도입
여성 아이 출산시 군면제 
5. 2자녀 이상 공무원 가산제
자녀수 증가에 따라서
공무원 승진시 가산점 부여 
6. 2자녀 이상 가족 자녀 대학입시 가산점,
2자녀 이상 자녀 부모 승진시 가산점 주는
기업체 국가에서 인센티브 부여 
7. 연봉 1억이상 무자녀 소득세 할증 
신속, 정확하게 잘부탁드립니다.</t>
  </si>
  <si>
    <t>출생률 감소로 
미래 대한민국 경제 후퇴 가능성 완화
 경제 발전 가능성 상승</t>
  </si>
  <si>
    <t>1. 안녕하십니까 보육정책에 관심을 가져주셔서 감사드리며, 귀하께서 국민신문고를 통해 신청하신 제안에 대하여 회신드립니다.
2. 귀하의 제안 내용은 '만 19세까지 부모급여 지원 요청'과 관련한 것으로 이해되며 아래와 같이 답변을 드립니다.
ㅇ 정부는 출산이나 양육으로 인해 손실되는 소득을 보전하고, 영아기 돌봄을 두텁게 지원하기 위하여 부모급여를 도입하였습니다.
  * ('23) 만 0세 70만원, 만 1세 35만원('22년 출생아부터 적용)
ㅇ 귀하께서 제안하신 만 19세까지 부모급여 지급을 확대하는 것은 상당한 예산이 소요되는 사항으로 재정 여건 및 사회적 여론 등을 고려하여 신중히 검토해야 할 사항임을 양해해 주시기 바랍니다.
3. 항상 저희 보육정책에 관심을 가져주셔서 대단히 감사드리며, 추가 문의사항이 있으신 경우 보건복지부 보건복지콜센터(국번없이 129) 또는 보육사업기획과(안혁재 주무관, 044-202-3572)로 연락주시면 성실히 답변드리겠습니다. 감사합니다.  끝.</t>
  </si>
  <si>
    <t>국민연금 출산크레딧 관련 제안</t>
  </si>
  <si>
    <t>2008년 도입된 국민연금 출산크레딧은 둘째 아이를 낳으면 12개월, 셋째아의 경우 30개월, 넷째아는 48개월, 다섯째 이상은 50개월의 국민연금 가입기간을 추가해주는 제도이다. 허나 현재 우리나라의 합계출산율은 2022년도 기준 0.78명으로 OECD 최저수준이며 급격한 속도로 감소중에 있다. 2008년 제정 시행된 출산크레딧은 둘째 이상 출산 했을 때 부터 적용받을 수 있게 되어있으며, 넷째아와 다섯째아까지 규정되어 있는 등 작금의 현실을 반영하지 못하여 제도와 현실간의 괴리가 있어 출산크레딧을 첫째 아이부터 적용 받을 수 있도록 해야하며 또한, 부부 합의에 따라 부모 중 어느 한쪽으로 몰아서 산입할 수 있으며 합의가 없으면 절반씩 균등하게(예:12개월인 경우 각 6개월씩) 나누어 산입하도록 되어있는데 크레딧 기간을 모두 여성에게 산입하여 남녀 성별간 연금격차를 해소하기 위함이라는 본래 취지에 맞도록 개선하는 것을 제안하는 바이다.</t>
  </si>
  <si>
    <t>1. 현행 첫째 미적용, 둘째 12개월, 셋째 30개월, 넷째 48개월, 다섯째 50개월인 규정을 첫째부터 12개월을 적용하며 출산 아동1인당 12개월씩 추가하여 가산한다.
2. 각 절반 씩 두 사람에게 균등 안배(원칙)하며 합의가 있을 경우 어느 한 사람에게 전부(예외) 산입할 수 있도록 되어있는 현 규정을, 여성에게 100% 산입하는 것을 원칙으로 하고 양자 합의가 있는 경우 각 절반 씩 안분하는 것으로 수정 보완한다.</t>
  </si>
  <si>
    <t>첫째아 출산부터 실업크레딧을 적용하여 출산 후 여성의 경력단절로 인한 국민연금 가입기간에 있어 상대적으로 불리한 처우를 개선하여 성별 간 연금격차를 해소하고, 소득보장성을 늘려 출산을 장려하며 궁극적으로 출산율 증대에 기여할 것으로 사료됨.</t>
  </si>
  <si>
    <t>1. 안녕하십니까. 국민연금제도에 많은 관심을 가지고 국민제안을 올려주셔서 감사합니다.
2. 귀하의 제안사항은 출산장려를 위해 출산크레딧 대상을 첫째 자녀로 확대하여 줄 것을 요청하신 것으로 이해되며 다음과 같이 답변 드립니다.
  ○ 국민연금제도는 법률에 의하여 운영되는 제도로서 급여액 산정 등에 관한 사항은 국민연금법령에 명시적으로 규정하고 있습니다.
  ○ 국민연금법 제19조제1항에서는 2 이상의 자녀가 있는 경우 노령연금 수급권을 취득한 때 자녀 수에 따라 국민연금 가입기간을 최대 50개월까지 추가로 산입하도록 규정하고 있습니다.
  ○ 이상과 같이 출산에 따른 가입기간 추가 산입은 국민연금법에 근거하고 있어, 귀하의 제안과 같이 첫째 자녀부터 출산크레딧을 인정하는 것은 개정 필요성 등을 종합적으로 검토하여 법률 개정이 필요한 사항임을 이해하여 주시기 바랍니다.
3. 이상으로 답변을 마치오며 답변내용에 추가 문의사항이 있으시면 국민연금공단 콜센터(국번없이 1355) 및 보건복지상담센터(129) 또는 보건복지부 연금급여팀(044-202-3637)으로 연락 바랍니다. 감사합니다.  끝.</t>
  </si>
  <si>
    <t>저출산 대책</t>
  </si>
  <si>
    <t>직장여성들육아 어렵다 ? 왜   ?
어린이집에  아기를 편히 맏길수가 업다.
어린이집 선생님들  한분이 너무많은 이이들을  돌보고 급여가 적고  쓸데없는 서류 작업이 많아서 오래 근속을  하지않다보니 어린ㅇㆍ이들이 정들만 하면 선생이  바뀌게 도고 아이들은  적응을 목하게 되는것을 반복햐고  어린이집을 가지 않으려하다보니  엄마만 찾게 되다 .이에  맘편히  직장에 갈수없고  우는 아기를 두고  직장을 가다보니 온 집안이 아침안 되면  전쟁을 치른다   
심한 애들은 엄마가 휴직하거나 직장을 그만두게 된다 . 육아 수당이 문제가 아니다</t>
  </si>
  <si>
    <t>육아수다이니 출산 수당  주는것이  아니라 그돈을 어린이 집 환경을 개선하는데 투자해서 엄마들이 맘놓고  아기를 맏길수 있도록해야 맘놓그 애를 낳을것이다
어린이집 교사 임금 대폭  인상.
애하나 돌보는것도 힘든다고하는데 어린집 교사들은  너무 많은 아이들을  맡고있다.말못하는 애기들을 하루종일보고 또 끝나면 뭔  서류 작성ㅇ 그리 많은가 ,
이렇게 격무에  시달리는데 고작 최저임금 이라니 . 누가 오래 근무하겠나  ? 
내 딸도  손녀하나 키우는데 .어린이 집은 보냈는데 처음 일년은 잘가더니  올해  선생님 이 퇴사해서 바 뀌다보니 애가 어린이집을 안가려해서  아침만되면  울고 불고 난리다.
엄마가 맘놓고 아기를 맏길수있는 육아 시설을  확충하고 선생님 들  질을  높이면  출산율  나아 진다.
돈이 있어도 아기를 맏길곳이 마땅치를 않다. 교사 일인당 세명이상은 무리다. 육아시실과 교사처우 개선으로  정책 자금을 써라. 
그래야 엄마들이  맘놓고   직장도 다닐수 있고  둘째 셋째 애도  낳을수 있다.
육아시설과 솬경이 열악한데  돈준다고  애를 낳겠는가  ? 거인들에게  백만원 줘도 애를 편히 맏길곳이 없다.
공무원들은 현장실태를  너무 모른다 . 답답하다.</t>
  </si>
  <si>
    <t>돈주면 출산한다는  밀차원적 박상부터 바꿔라.  교사와  시설. 양질의 돌돔환경  이곳에 돈을써서 안심하고  애를 맏길수 잏는곳을 많이 마들어주세요</t>
  </si>
  <si>
    <t>1. 안녕하십니까? 귀하께서 국민신문고를 통해 보건복지부 업무와 관련하여 신청하신 제안(1AB-2304-0000031)에 대해 안내드립니다.
2. 귀하의 제안내용은 ‘보육교사 처우 및 어린이집 환경 개선’으로 이해되며, 검토의견은 다음과 같습니다.
&lt;보육교사 처우 개선 관련&gt;
 ○ 현재, 우리 부에서는 보육교직원 자격기준 강화, 보조교사 및 대체교사 지원을 통한 보육교사 근로여건 개선, 보육교사의 인성함양 및 직무 스트레스 해소 지원을 위한 다양한 교육 및 상담사업을 운영하는 등 보육서비스 품질 향상과 보육교사 처우개선을 위해 다양한 정책을 추진하고 있습니다.
 ○ 앞으로도 보육교직원이 보다 나은 환경에서 근무 할 수 있도록 현장의 애로사항을 지속적으로 검토하고, 보육교직원의 근로여건 및 처우 개선을 위해 노력하겠습니다.
&lt;보육교사 인건비 관련&gt;
 ○ 보육교직원 보수 책정시 호봉제를 적용하여 적정 수준의 급여가 지급될 수 있도록 매년 최저임금 수준과 물가상승률을 반영한 호봉 산정표를 발표하고 있습니다.
 ○ 한편 정부 인건비 지원 시설로서 승인을 받은 어린이집에 보육사업안내 인건비 지급 기준으로 지원하고 있으며, 보육교사 인건비 지급을 위해 예산의 범위 내에서 정원충족률 50% 이상인 경우 해당반 보육교사 인건비의 일부(영아반 교사: 인건비의 80% 지원, 유아반 교사: 인건비의 30% 지원)를 보조하고 있습니다.
 ○ 보육교사 호봉과 인건비 지원단가 인상을 위해서는 추가적인 재정확보가 필요하므로 재정당국과 지속적으로 협의하여 개선해나가겠습니다.
&lt;교사대 아동비율 및 어린이집 환경개선 관련&gt;
 ○ 우리 부에서는 수준 높은 보육서비스를 제공하며 안전하고 쾌적한 보육환경 도모를 위하여 '어린이집 기능보강비 지원' 사업을 진행 중입니다.
 ○ 현재, 반별 정원 기준은 만0세 3명, 만1세 5명, 만2세 7명 만3세 15명, 만4세 이상 20명이며,
   - 반별 정원기준은 영유아보육법 시행규칙 제10조 별표2에 따른 사항이므로, 해당 기준을 변경하는 것은 법령 개정이 필요할 뿐만 아니라 예산당국과의 협의 또한 필요한 사항으로, 신중한 검토가 필요할 것으로 보입니다.
3. 제도 개선을 위한 귀하의 제안에 감사드리며, 추가 문의사항이 있으실 경우 보건복지콜센터(국번없이 129) 또는 보육교사 처우개선 지원 관련은 보육정책과(최수연, 044-202-3554), 보육교사 인건비 관련은 보육사업기획과(이용성, 044-202-3568), 어린이집 환경개선 관련은 보육기반과(강노을, 044-202-3583)로 연락주시면 친절히 안내해 드리도록 하겠습니다. 감사합니다.  끝.</t>
  </si>
  <si>
    <t>육아 돌봄 서비스</t>
  </si>
  <si>
    <t>회사내에 어린이집을 운영하지 않은 직장에 다니는 맞벌이 부부가 어린이를 돌보아줄 어린이 시설이 부족하여 직장을 그만두는 부부가 많음.
공공 어린이집은 시간이 맞지 않고 시설도 부족함.</t>
  </si>
  <si>
    <t>공장이 밀집한 지역이나 공단 내에 빈 공장이나 신축을 통하여 어린이 집을 개설하여 근처에서 근무하는 중소기업 맞벌이 부부의 어린이를 출근시간부터 퇴근시간까지 맞춤 돌봄 서비를 실시함.</t>
  </si>
  <si>
    <t>경력단절 부부가 발생하지 않음</t>
  </si>
  <si>
    <t>1. 안녕하세요. 보육정책에 관심을 가져 주셔서 감사드리며 귀하의 민원에 대하여 아래와 같이 안내드립니다.
2. 귀하의 민원은 “경력단절 방지를 위한 공단 내 어린이집”에 대한 내용으로 이해됩니다.
3. 귀하의 질의사항을 검토한 결과 다음과 같이 안내드립니다.
○ 영유아보육법 제14조 및 동법 시행령 제20조에 의하여 상시 여성근로자 300명 이상 또는 상시근로자 500명 이상을 고용하고 있는 사업장은 직장어린이집을 의무적으로 설치하여야 하며, 사업주가 직장어린이집을 설치할 수 없을 때는, 사업주 공동으로 직장어린이집을 설치·운영하거나 지역의 어린이집과 위탁계약을 맺어 근로자 자녀의 보육을 지원하도록 하고 있습니다. 
○ 또한 산업단지와 인접한 공간 가운데 민간어린이집의 진입이 어려운 지역은 영유아보육법 제12조 제1항에 의거, 국공립어린이집 설치를 위한 우선지원대상으로 분류하여 관리하고 있습니다. 
○ 그 밖에 귀하께서 제안하신 바와 같이 고용노동부에서 직장어린이집 설치 및 운영에 필요한 비용 지원, 공공직장어린이집운영지원, 직장보육지원센터 운영 등을 추진하고 있으니 참고하시기 바랍니다.
4. 이밖에 궁금하신 사항이나 추가 질의가 있는 경우에는 보건복지상담센터(국번없이 129번)로 연락주시면 안내해 드리도록 하겠습니다. 감사합니다.</t>
  </si>
  <si>
    <t>저출산 해결방안 제안</t>
  </si>
  <si>
    <t>1. 높은 집값, 고물가, 생활비 부담 등으로 맞벌이할 수 밖에 없는 현실
2. 육아에 대한 인력, 경제력 부족
3. 젊은이들이 자기개발에 대한 의지가 강함
4. 부모와 자녀간 애착관계가 약함</t>
  </si>
  <si>
    <t>단발성 출산축하금 지급은 전혀 도움이 되지 않음, 다음과 같은 방법으로 지원한다면 맞벌이하며 아이낳아 키우려는 분위기가 살아날것임.
1. 사무실이 밀집한 도심 빌딩마다 어린이집 개설
ㅡ빌딩 내(또는 인근빌딩) 근로자의 자녀를 돌봄
ㅡ근무시간 중에도 부모가 한번씩 가보고, 수유, 약먹이기 등 기회 부여
ㅡ정부, 회사에서 어린이집 운영비 지원</t>
  </si>
  <si>
    <t>1. 자녀가 가까이 있다는 안도감, 언제든 가서 살필수 있으며 부모 자식간 애착이 강해짐
2. 회사, 사회가 함께 자녀양육을 지원하는 분위기 형성
3. 자기개발 의욕 충족 및 경제적 이익 창출
4. 자녀양육에 대한 부담해결로 출산율 증가</t>
  </si>
  <si>
    <t>1. 안녕하세요. 보육정책에 관심을 가져 주셔서 감사드립니다. 
2. 귀하의 민원은 “직장어린이집 개설 및 지원”에 대한 내용으로 이해됩니다.
3. 귀하의 질의사항을 검토한 결과를 다음과 같이 안내드립니다.
○ 영유아보육법 제14조 및 동법 시행령 제20조에 의하여 상시 여성근로자 300명 이상 또는 상시근로자 500명 이상을 고용하고 있는 사업장은 직장어린이집을 의무적으로 설치하여야 하며, 사업주가 직장어린이집을 설치할 수 없을 때는, 사업주 공동으로 직장어린이집을 설치·운영하거나 지역의 어린이집과 위탁계약을 맺어 근로자 자녀의 보육을 지원하도록 하고 있습니다.
   - 직장어린이집은 영유아보육법 제15조 및 동법시행규칙 제9조에 따른 어린이집 설치 기준을 모두 갖추어야 하며, 사업주가 직장 어린이집을 설치할 경우에는 안전사고 및 재난에 대비한 시설을 갖추어 건물 내 5층까지 보육실을 설치할 수 있습니다. 또한 외부인의 출입을 제한할 수 있는 등 영유아의 안전관리가 가능한 건물에 직장어린이집을 설치할 수 있다는 점을 양지하여 주시기 바랍니다.(2023년 보육사업안내 6쪽 참고) 
○ 근무시간 중 부모의 어린이집 방문 등과 관련하여 보육에 지장이 없는 범위 안에서 해당 기업과 직장어린이집 간 개별적 협의가 있는 경우에 한하여 가능할 수 있을 것으로 보이며, 현재 지자체의 장이 열린어린이집을 선정,운영하고 있는 점도 참고하시기 바랍니다. 
○ 제안하신 어린이집 운영비 지원 관련하여, 영유아보육법 시행령 25조에 의거, 직장어린이집을 설치(둘 이상의 사업주가 공동으로 직장어린이집을 설치하는 경우를 포함)하거나, 지역의 어린이집과 위탁계약을 맺은 사업주는 영유아보육법 제37조에 따라 그 어린이집의 운영 및 수탁 보육 중인 영유아의 보육에 필요한 비용의 100분의 50 이상을 부담하여야 합니다. 또한 고용노동부에서는 직장어린이집 설치 및 운영에 필요한 비용 지원, 공동직장어린이집운영지원, 직장보육지원센터 운영 등을 추진하고 있으니 참고하시기 바랍니다. 
4. 이밖에 궁금하신 사항이나 추가 질의가 있는 경우에는 보육정책과(044-202-3551, 3555) 또는 보건복지상담센터(국번없이 129번)로 연락주시면 안내해 드리도록 하겠습니다. 감사합니다.  끝.</t>
  </si>
  <si>
    <t>또 되풀이되는 저출산대책 정책</t>
  </si>
  <si>
    <t>尹, 저출산위 첫 주재 "15년간 280조…왜 실패인지 파악해야"
위 기사 제목처럼 왜 실패인지 파악을 전혀 못한 정책이 또 되풀이되어 발표되려 한다.
그동안, 다자녀가족, 맞벌이가정,신혼부부,워킹맘,돌봄 등 어찌보면 특정 조건에 부합된 자녀출산 가정에 대해서만
집중 지원한 예산 정책들이었다. 
왜 실패했을까? 당장 현실에 맞지 않기 때문이다. 그럼에도 기존 범주에서 크게 벗어나지 않는 정책들을 되풀이하려 한다.
취학전아동 지원정책은 많다. 
그런데 실제적으로 초등학교 부터 고등학교까지 대한민국 사교육 경쟁은 출산가정에게는 남의일이 아니다.
그럼에도 초등~고등학교까지 의무교육 혜택외에는 지원이 없어 가장 경제적으로 힘들때이다.
맞벌이를 해야 자녀를 키울수 있고, 아이 여럿을 낳아야 확실한 정부지원을 받을수 있는 정책은 실효성이 없음이 입증되었다.</t>
  </si>
  <si>
    <t>*오늘 라디오에서 저출산대책위 관계자말 :
'만18세까지 100만원 지원은 부모에게 돈을 주는것이어서, 그 돈의 사용처가 아이한테 가지 않거나 사교육비용으로 들어갈 문제점이 있다.'고 했는데 현실은 아이 식비,의류비외에 학원비에 대한 출혈이 큰게 사실인데, 사교육을 없애지 않는 이상 말이다.
*얼마전 대책중 하나였던 만 18세까지 100만원 정책이 가장 파격적이면서도 현실성이 있다고 생각한다.
1.아이 하나 낳고도 잘키울수 있는 환경, 아빠(엄마)가 홀벌이를 해도 아이 키우는데는 걱정없어야 하며,
2.아이 하나 키우면서 경제적 큰걱정이 없어야, 가정이 행복해지고 둘째를 계획할 수 있는것이다.
3.엄마들 입장에선 부업을 하지않아도 전업주부로써 가정과 자녀를 돌보며 여가를 즐길수 있게 하여야 하며
4.아빠들은 충분한 워라밸을 집중할수 있도록 경제적 여유를 주어야 한다. 
5.집 장만을 당기고 싶고, 아이 교육(예체능)을 확대하고 싶으면 맞벌이를 하면된다. 즉 출산가정에서 맞벌이는 선택인것이다.</t>
  </si>
  <si>
    <t>아이의 출산부터 만18세 성인이 될때까지 정부에서 꾸준히 관리하는 정책으로, 국민 개개인이 복지혜택에 대한 자부심을 갖을 것이며, 당장 경제적 고민 또는 일과 육아에 대한 병행으로 스트레스를 받는 워킹맘들의 선택권이 생기므로 행복지수가 높아질것.
기존 출산가정들의 행복지수는 딩크족 또는 비혼남녀들에게 선한 영향을 미쳐 결혼과 자녀를 동반한 전통적 가족상이 행복의 척도임을 다시금 일깨워주는 긍정적 사고방식이 자리 잡힐것이라 생각됨.
나아가 출산정책은 향후 독거노인등 노인복지 대책과도 연결되는 지점임으로 그 시작점에 확실한 투자가 필요한 정책이라 할수있음.</t>
  </si>
  <si>
    <t>1. 안녕하십니까? 보건복지부 인구정책총괄과입니다. 귀하께서 국민신문고를 통해 신청하신 민원에 대한 검토 결과를 다음과 같이 알려드립니다.
2. 귀하께서는 저출산 대책에 있어 매월 출산 가정에 적정한 양육지원금을 건의하신 것으로 생각됩니다.
3. 정부는 초저출산 현상을 엄중하게 인식하고, 결혼·출산·양육이 행복한 선택이 될 수 있는 사회 환경 조성을 위해 양육비용 부담 경감, 촘촘하고 질 높은 돌봄과 교육, 가족친화적 주거서비스, 임산부와 아동의 건강지원 강화, 일·육아 병행 지원 내실화 등 범부처적 정책대응 노력을 기울이고 있습니다.
4. 특히 양육비용 부담 경감을 위하여 임신·출산진료비 지원(국민행복카드 100만원), 고위험 임산부 및 아동에 대한 건강보험 본인부담 완화 등을 통해 의료비용 부담을 줄이고, 첫만남이용권(출생아 200만원 바우처), 아동수당(만 7세까지 월 10만원) 및 부모급여('23년 0세 월 70만원, 1세 월 35만원 →'24년 0세 월 100만원, 1세 월 50만원)를 지급하는 등 통해 양육비용 부담을 줄이기 위한 지원을 하고 있습니다. 이에 더해 지역별로 출산장려금을 추가로 지급하고 있음을 말씀드립니다.
5. 향후 현재 지급중인 비용지원의 지원효과 등을 분석하고 체감도가 높은 방향으로 비용지원을 할 수 있는 방안을 지속 검토해 나가겠습니다.
6. 귀하의 가정에 평안과 행복이 깃드시길 바라며, 기타 문의사항이 있으신 경우 보건복지부 인구정책총괄과(044-202-3367) 또는 보건복지콜센터(국번없이 129)로 연락주시면 안내드리겠습니다. 감사합니다.  끝.</t>
  </si>
  <si>
    <t>저출산 정책 현실적이고 파격적인 정책들이 필요합니다. (고용노동부, 복지부 동시 제안)</t>
  </si>
  <si>
    <t>매 해 출산율은 뚝뚝 떨어지고 있습니다. 하지만 관계부서, 정치인들은 아무런 경각심이 없습니다. 여태까지 쓴 254조 어디다가 쓰셨습니까? 저를 포함 주변 동료, 친구들 모두 그 돈 어디갓냐 애 안낳는다, 내가 미쳣다고 둘째 낳냐 국가는 매 번 말만 뻔지르하지 평범한 국민들은 혜택 받을 수 있는건 매우 적다. 라고 합니다.
좋은 정책도 있습니다. 하지만 아닌게 더 많죠.
네, 바로 현실적이지도 않는 정책들과 저출실임에도 불구하고 그 망할 소득 규제별 혜택 지급, 애도 안낳는데 3자녀가 다자녀라는 말도안되는 정책들이 문제입니다.
20대,30대가 몸으로 체감되고 주변에도 긍정적인 분위기 형성될 수 있는 정책과 40대들도 농담으로 와 이정도면 우리 막둥이 가질까? 늦둥이가질까?라는 농담할 수 있는 저출산 정책이 나와야지요.
젊은 부부 대다수가 맞벌이 부부이고 한~참 경제 활동하며 집도 사고 대출금도 갚고 커리어도 쌓고 있을 때 애를 가지면 누군가는 육아휴직을 울며겨자먹기로 쓰며 소득이 줄어들고 금전적으로 힘들게됩니다. 금전적으로 여유가 있는 젊은 부부들은 누군가 커리어가 단절되는게 현실이기에 금전적이나 커리어, 어찌됫든 공동육아는 힘든게 현실.
저출산인데 돌봄 확대? 정신차리세요. 아이는 부모가 돌봐야됩니다. 최소 1~3살까지는 부모가 케어할 수 있는 환경을 만들고 정책을 제시해야지. 왜? 돌봄으로 가는지? 정치인들이 다 옛날 사람이라 애는 스스로 큰다는 생각이신지요? 그리고 정작 대다수 맞벌이 부부는 그 비용 부담도 힘듭니다.
복합적인 이유로 파격적인 저출산 정책과 누구나 차별 없이 혜택볼 수 있는 정책, 육아휴직이 당연시 되는 분위기 형성되지 않는 이상. 앞으로 출산은 더 떨어질것입니다.</t>
  </si>
  <si>
    <t>1. 출산, 영유아 관련 정책만큼은 소득 규제 없어야됩니다.
- 맞벌이 부부였다가 아이를 출산한 뒤 번갈아가며 육아휴직을 써도 먹고살기 매우 힘듭니다.
아파트 대출금, 고정 생활비등 맞벌이에서 외벌이가 되어버리니 허덕이고 또 허덕이게됩니다. 저출산이라며 위기라면서 말도안되는 소득 규제?아이 안낳아, 둘째는 절대 안 낳는다 묶으러가야지 이러는게 현실입니다.
소득 규제를 일시 해제하고 출산율이 일정 수준 이상 도달한다면 그때 다시 소득별 규제 하십시오. 지금은 차별할때가 아닙니다.
2. 출산 전 ~ 출산 직후 까지 현실적인 산모 케어 ( 산부인과 진료 비용 지원, 소득 규제 X, 100만원 카드 외 추가 지원)
- 아이를 준비하거나 혹은 임신한 임산부들이 무조건 가야되는 산부인과. 병원 비용은 누구에게나 부담됩니다.
현재 임신 시 100만원 카드 지급해주지만 그건 산모 영양제, 튼살 크림등 산모 필수 케어사면 다 없어집니다.
그 외 오로지 본인 부담입니다. 건강하면 다행이지만 임신하면 건강하던 산모도 각종 임신성 질병, 후유증 얻는게 팩트입니다. 그럼 병원 비용은 더 증가하고요.
추후 자연분만으로 진행하면 그나마 다행이지만 본인 선택이 아닌 아이의 목숨, 산모의 건강 상태로 인하여 강제로 제왕절개하는 경우 병원비는 아무리 저렴한곳이여도 최소 100만원 이상입니다. 후유증도 심각하고요.
이게 현실인데 현재 지원은 너무 턱없이 부족합니다.
100만윈 카드 외 임산부들에게 태아 진료 검진 목적이라면 발생한 병원 비용에 따라 진료 1회당 5~15만원 가량 지원해주는 식으로 실질적인 병원비 걱정을 안하게 해주셔야됩니다.
또한 본인 선택이 아닌 건강, 태아로 인한 어쩔 수 없는 제왕 절개 진행 시 수술비, 관련 약 처방 비용 급여 비급여 50프로 지원해주고요.
단순합니다. 아이를 가지고 낳기 위해 방문하는 산부인과 비용 부담을 현저하게 줄여 몸으로 느낄 수 있도록 해주신다면 예비 산모, 임산부, 이미 아이를 낳고 추가로 아이를 생각하지만 망설이고 있는 부부들에게 크나큰 출산 장려 효과가 있을것입니다.
3. 아이 수당 기간 상향
현재 만0세 100만원 계획 만1세 50만원 그 외 10만원씩 나오는게 현재 정책입니다.
이건을 만 3세까지 어린이집 비용 제외 100만원 + 10만원 지원, 만3세 ~ 만7세까지 50만원+ 10만원
초등학생부터 중학생까지 20만원씩 지원해주는 방향으로 검토 해주십시오
고등학생까지 100만원씩 준다? 비현실적인거 바라지도 않고 오히려 짜증만 납니다. 약올리는것도 아니고요.
위 방향으로 검토하고 실현된다면 출산 장려 효과를 크게 기대할 수 있을겁니다.
4. 3+3 부모 육아휴직 금액 상향
맞벌이 부부는 매우 힘듭니다. 결국 누군가 외벌이, 독박육아를 해야되는데 그 고달픔이 둘째 셋째 아이 낳는것을 망설이게하고 주변 사람들도 그 모습을 보며 아이를 안낳게되는겁니다
현재 200,250,300 만원 지급 기준을 300,320,350만원 이렇게 조금이라도 상향 해주십시오.
대한민국 직장인들 평균 급여정도는 줘야지 현실적이지 않겠습니까?
5. 아빠 육아휴직 의무화
위 4번 정책이 실행되면 아빠 육아휴직을 의무화해도 대다수 인원들이 육아휴직으로 인해 급여가 줄어들어 가정이 파탄난다는 걱정은 안할겁니다.
육아휴직 의무화는 갓 태어난 아이들 부모만 혜택보는게 아닌 만8세 미만 아이들 중 아빠들 중 90일 이상 육아휴직을 사용한 인원 제외하고 90일 육아휴직 의무화 시키는겁니다.
ex) 30일 육아휴직 사용자는 60일 의무화,
60일 육아휴직 사용자는 30일 의무화
육아휴직 미사용자 90일 의무화
90일 이상 육아휴직 사용자는 의무 제외
공동 육아를 하다보면 자연스레 둘째 셋째도 가지게되고 독박 육아 걱정으로 아이를 낳지 않는 인원들에게도 큰 출산 장려가 될것입니다.
6. 공무원, 공기업, 대기업들 중심으로 저출산 현실을 강조하며 남자 육아휴직 권장, 엄마 육아휴직 권장,근로시간자율등 적극 권장하고 수시로 감사하십시오.
- 위부터 분위기가 변화해야지 중견, 중소, 작은 기업들까지 변화하기 시작할것입니다.
7. 영유아 ~ 초등학생까지 소득규제 없이 병원 비용 지원
 심한 질병, 상해 경우 전액 지원.
그 외 병원비용들은 실비 보험 제외한 나머지 금액 지원
실비 미가입자들은 실비 가입자들 기준으로 금액 지원
8. 각 시 별로 저출산 관련 정책을 수시로 보고 받아 도지사, 시장들이 저출산 정책에 신경쓰도록 압박해주십시오
9. 육아휴직 급여 현 최대 150만원에서 200만원으로 상향
- 제발 현실적인 금액을 지원해주세요. 서민들이 둘째 셋째 망설이는건 환경도 환경이지만 금전적 이유도 매우 큽니다.
10. 신용,담보대출 상품 상관 없이 1자녀부터 금리 인하 및 2자녀 이상 정부 초저금리 대출 지원
11. 매 해 변경되는 출산 정책 경우 기존 5살까지 소급 적용 - 기존 사람들도 받아봐야 또 낳겠죠</t>
  </si>
  <si>
    <t>대한민국 젊은 부부는 대다수가 맞벌이입니다.
맞벌이지만 아이를 직접 케어하고 싶은 마음 가지고 있습니다. 허나 정부 정책은 소득 규제 차별 혜택 지급과 부모가 아이를 케어할 수 있는 정책들이 아닌 돌봄으로 밀어내고 있습니다.
또한 기존 아이를 출산하여 둘째 셋째를 계획했었지만 매 해 바뀌는 정책을 기존 아이들은 혜택을 받지 못하고, 크게 좋아지는것이 없으니 그냥 안낳을래. 하는게 현실입니다. 이쁜 나이 2살, 5살쯤 둘 째 생각한다고 합니다.
그분들은 기존 인원들도 좋아지는 출산 정책 혜택들을 소급 지급하고 추후 소급 지급하는 아이 연령대를 높여가며 둘째 셋째 늦둥이를 낳으려는 분위기 형성하는것입니다.
또한 공동 육아 분위기 형성 등 제발 대한민국 대다수의 평범한 국민들이 혜택을 볼 수 있는 정책, 몸으로 느낄 수 있는 정책으로 매 해 떨어지고 있는 출산율을 멈추고
점차 출산율이 올라, 대한민국 어디에서나 영유아 울음 소리, 아이들 웃음 소리 들을 수 있으면 좋겠습니다.</t>
  </si>
  <si>
    <t>1. 안녕하십니까? 보건복지부 인구정책총괄과입니다. 귀하께서 국민신문고를 통해 신청하신 민원 중 우리부소관사항에 대한 검토 결과를 다음과 같이 알려드립니다.
2. 귀하께서는 저출산 완화를 위해 양육·출산 관련 지원 정책의 소득기준 폐지, 현실적인 산모지원금 강화, 양육수당 지원기한 현장 등을 건의하신 것으로 이해됩니다.
3. 정부는 초저출산 추세 심화 상황을 엄중하게 인식하고, 결혼·출산·양육이 행복한 선택이 될 수 있는 사회 환경 조성을 위해 양육비용 부담 경감 뿐만 아니라 촘촘하고 질 높은 돌봄과 교육, 가족친화적 주거서비스, 임산부와 아동의 건강지원 강화, 일·육아 병행 지원 내실화 등을 위해 범부처적 정책대응 노력을 기울이고 있습니다.
 ○ 임산부 대상 임신·출산진료비 지원(국민행복카드 100만원), 첫만남이용권(출생아 200만원 바우처), 아동수당(만 7세까지 월 10만원) 및 부모급여('23년 0세 월 70만원, 1세 월 35만원 →'24년 0세 월 100만원, 1세 월 50만원)를 지급하는 등 통해 양육비용 부담을 줄이기 위한 지원을 하고 있습니다. 이에 더해 지역별로 출산장려금을 추가로 지급하고 있습니다.
 ○ 또한, 지난 3.28일 저출산고령사회위원회 논의를 통해 만 2세 이하 아동에 대한 입원 진료비 제로화(건강보험 급여항목), 미숙아 및 선천성 이상아에 대한 의료비 지원을 만 2세까지 소득 수준에 관계 없이 지원하는 내용 등을 발표한 바 있습니다. 
 ○ 정부재원이 한정되어 있어 일부 지원정책의 경우 부득이 소득수준 등을 고려하여 지원대상을 제한하고 있음을 양해해주시기 바라며,  양육부담완화가 필요하다는 귀하의 정책제안 취지를 이해하고, 향후 지속 제도개선 방안 마련시 검토해 나가도록 하겠습니다.
4. 산모지원 확대 및 초등학생까지 소득 기준 없는 병원비용 지원과 관련하여서는 소관부서(보험급여과)에서 다음과 같이 검토하였습니다.
 ○ 정부는 임신, 출산에 소요되는 비용 부담 완화를 위해 분만에 대한 제반 입원진료비(기본입원료, 분만료나 수술료, 투약, 검사 등)는 보험급여대상으로 인정하고 있으며, 건강보험진료비 중 80%를 공단에서 지원하고 본인이 20%를 부담하고 있습니다. 또한, 자연분만으로 인해 발생하는 건강보험 진료비(기본입원료, 분만료 및 산후처치료, 신생아기본입원료 및 관리 등) 및 미숙아에 대한 제반 입원진료(보육기;인큐베이터
사용, 검사, 투약, 치료 등) 중 본인부담률을 면제하고 있으며, 제왕절개분만 입원시 본인부담율을 당초 20%에서 5%로 경감 적용하고 있습니다.
 ○ 또한, 주기적인 산전 진찰 등 건강한 태아를 분만할 수 있도록 「국민건강보험법」제50조(부가급여) 및 같은 법 시행령 제23조에 따라 임신·출산과 관련된 진료 및 처방된 약제·치료재료의 구입에 드는 비용을 바우처를 통해 지원(건강보험 임신·출산 진료비 지원, 단태아의 경우 100만원, 다태아의 경우 140만원)하고 있습니다. 영유아 의료비 부담완화를 위해 외래이용시 6세미만에는 본인부담 완화, 신생아 입원시 본인부담면제 및 15세미만은 5%로 완화하고 있으며, 최근 대통령 주재 제1차 저출산고령사회위원회에서 발표한 '윤석열 정부 저출산고령사회 정책과제 및 추진방향'에서 2세미만 입원진료비를 0%로 면제하는 등의 의료비 부담 완화방안을 발표하였습니다.
 ○ 다만, 소아진료자원이 부족한 상황에서 본인부담완화시 불필요한 의료이용이 증가한 과거 사례가 있어 본인부담의 무조건적인 완화에는 신중한 접근이 필요할 것으로 사료됩니다. 향후에도 임신,출산,양육에 소요되는 의료비 부담완화를 위해 다양한 방법을 검토해나가도록 하겠습니다.
5. 아동수당, 부모급여 등 양육을 위한 수당 지급기한 연장과 관련하여서는 소관부서(아동복지정책과)에서 다음과 같이 검토하였습니다.
 ○ 정부는 아동 양육의 경제적 부담을 경감시키고 아동의 건강한 성장환경을 조성하여 아동의 기본적 권리와 복지 증진을 위해 2018년 9월 아동수당을 도입*하였고, 현재 만 8세 미만 모든 아동에 대해 매월 10만 원 아동수당을 지급하고 있습니다.
   * '18.9월부터 소득 하위 90% 가구의 만 6세 미만 아동 지급, ’19.1월부터 소득, 재산조사 없이 모든 만 6세 미만 지급, ’19.9월부터 만 7세 미만, ’22.1월 만 8세 미만 아동으로 확대
 ○ 또한, 출산이나 양육으로 인해 손실되는 소득을 보전하고, 영아기 돌봄을 두텁게 지원하기 위하여 부모급여를 도입하였습니다.
   * ('23) 만 0세 70만원, 만 1세 35만원('22년 출생아부터 적용)
 ○ 다만, 귀하의 제안과 같이 아동수당이나 부모급여 지급을 확대하는 것은 상당한 수준의 추가 예산이 소요되는 사항으로 한정적인 국가의 재정여건을 고려하고, 사회적 합의를 거치는 등 신중히 검토해야 할 사항으로 당장의 정책반영은 어렵다는 점을 양해해주시기 바랍니다.
6. 귀하의 가정에 평안과 행복이 깃드시길 바라며, 기타 문의사항이 있으신 경우 보건복지부 인구정책총괄과(044-202-3367) 또는 보건복지콜센터(국번없이 129)로 연락주시면 안내드리겠습니다. 감사합니다.  끝.</t>
  </si>
  <si>
    <t>저출산 뜬구름보다 눈앞 현실정책 필요</t>
  </si>
  <si>
    <t>일반기업이 따라주지도 않는 뜬구름 미래정책 폐기
낳을때만 지원하는 무효과 정책 펴기
아동복지와 다르게 봐야한다는 
마인드함량 미달 저출산 위원 무의미
하나 키우는 집에서 하나 더 낳기위해 가장필요한건 양육비 지원
국힘 아이디어 18세까지 월 100지원
획기적이고 여론 좋으나 실행하지않는 무동력 철폐
결론 탁상공론 뜬구름 정책 폐기하고
실제 양육을 하는 출산 예정이거나 추가 출산 예정인 서민들에 집중적인 장기적인 양육비 지원이 가장 핵심이고 효과가 큽니다</t>
  </si>
  <si>
    <t>출산율 상승 100% 확신</t>
  </si>
  <si>
    <t>1. 안녕하십니까? 보건복지부 인구정책총괄과입니다. 귀하께서 국민신문고를 통해 신청하신 민원에 대한 검토 결과를 다음과 같이 알려드립니다.
2. 귀하께서는 저출산 완화를 위해 매월 출산가정에 적정한 양육지원금을 건의하신 것으로 생각됩니다.
3. 정부는 초저출산 현상을 엄중하게 인식하고, 결혼·출산·양육이 행복한 선택이 될 수 있는 사회 환경 조성을 위해 양육비용 부담 경감, 촘촘하고 질 높은 돌봄과 교육, 가족친화적 주거서비스, 임산부와 아동의 건강지원 강화, 일·육아 병행 지원 내실화 등 범부처적 정책대응 노력을 기울이고 있습니다.
4. 특히 양육비용 부담 경감을 위하여 임신·출산진료비 지원(국민행복카드 100만원), 고위험 임산부 및 아동에 대한 건강보험 본인부담 완화 등을 통해 의료비용 부담을 줄이고, 첫만남이용권(출생아 200만원 바우처), 아동수당(만 7세까지 월 10만원) 및 부모급여('23년 0세 월 70만원, 1세 월 35만원 →'24년 0세 월 100만원, 1세 월 50만원)를 지급하는 등 통해 양육비용 부담을 줄이기 위한 지원을 하고 있습니다. 이에 더해 지역별로 출산장려금을 추가로 지급하고 있음을 말씀드립니다.
5. 향후 현재 지급중인 비용지원의 지원효과 등을 분석하고 체감도가 높은 방향으로 비용지원을 할 수 있는 방안을 지속 검토해 나가겠습니다.
6. 귀하의 가정에 평안과 행복이 깃드시길 바라며, 기타 문의사항이 있으신 경우 보건복지부 인구정책총괄과(044-202-3367) 또는 보건복지콜센터(국번없이 129)로 연락주시면 안내드리겠습니다. 감사합니다.  끝.</t>
  </si>
  <si>
    <t>출산도우미코디네이터 도입</t>
  </si>
  <si>
    <t>-애완동물/반려동물에 대한 프로그램은 좀 줄이고,
-아이를 낳음으로 해서 얻어지는 행복과 즐거움을 다루는 프로그램을 늘려 출산에 대한 생각을 긍정적으로 가질 수 있도록 하고,
-출산을 함으로 해서 아이와 산모가 불이익을 받지 않는다는 것을 알려주고, -
-정부의 좋은 제도를 소개해 주면서 아이를 키우는데 있어 어려움이 없다는 것을 알려주고,
-아이는 정부의 혜택만으로도 잘 자랄 수 있다는 것을 보여주는 프로그램을 만들었으면 합니다.
-출산에 어려움을 겪는 사람이나 출산을 고민하는 사람들을 위한 출산도우미코디네이터를 두어 출산을 원하는 사람에게 출산으로 도움을 주는 제도를 도입했으면 합니다.
*김건희영부인께서 동물보다는 아이들이 있는 곳을 방문해 아이의 소중함을 보여주는 것도 좋은 예가 되리라 생각합니다.</t>
  </si>
  <si>
    <t>1. 안녕하십니까? 보건복지부 인구정책총괄과입니다. 귀하께서 국민제안을 통해 건의해주신 내용에 대한 검토 결과를 다음과 같이 알려드립니다.
2. 먼저 인구정책에 관심을 가지고 의견 주신 점에 대해 깊은 감사 말씀드립니다.
귀하께서는 저출산 문제 해결을 위하여 반려동물에 대한 방송을 줄이고 아이 양육에 대한 행복을 다루는 프로그램을 늘려 긍정적인 시각을 가질 수 있도록 하는 방안 도입과 출산도우미 코디네이터 제도 도입을 건의하신 것으로 이해됩니다.
3. 결혼 기피 현상에 대한 귀하의 의견에 깊이 공감합니다. 다만, 정부에서 방송 프로그램을 중단하도록 조치하는 것은 신중한 검토가 필요한 사항으로 판단됩니다. 앞으로 건의하신 내용 중 아이 양육에 대한 긍정적 인식 변화를 위한 체감도 높은 정책 홍보에 매진하겠습니다. 
4. 우리 정부는 다양한 출산 서비스를 통합 신청할 수 있는 ‘행복출산 원스톱 서비스’를 ‘정부24’ 누리집을 통해서 이용할 수 있도록 운영 중에 있으며, 임신·출산 친화 환경을 조성하고 복지 정보 제공을 위해 임신·출산 모바일앱 ‘아이마중’을 운영하고 있습니다. 국민이 더 편리하게 이용할 수 있는 출산 친화적인 정책과 서비스를 개발하고 제공할 수 있도록 더욱 노력하겠습니다.
5. 정부는 정책을 만들고 실천함에 있어서 국민의 의견을 충분히 반영할 수 있도록
더욱 노력하겠습니다. 아울러 보다 나은 정책을 만들기 위해 국민들과 지속적으로 소통하며 고민하겠습니다. 저출산 정책에 관한 소중한 의견 주셔서 감사드리며, 기타 문의사항이 있으신 경우 보건복지부 인구정책총괄과(044-202-3373) 또는 보건복지부 콜센터(국번없이 129)로 연락주시면 안내드리겠습니다. 감사합니다.  끝.</t>
  </si>
  <si>
    <t>출생시 친자확인 의무화 제안</t>
  </si>
  <si>
    <t>작금의 대한민국 저출산에는 다양한 이유가 있을것입니다.
고물가, 저임금, 내집마련이 어려운 현실과 취업 빙하기.
거기에 남성들의 여성에 대한 불신 증가도 영향이 있지 않을까 생각합니다.</t>
  </si>
  <si>
    <t>흔히 뻐꾸기의 생존전략인 다른 새의 둥지에 알을 낳는것을 탁란이라고 합니다.
현대는 인터넷은 땔래야 땔수없고 인터넷을 통해 이러한 현실 속 탁란 사례로 많은 남성들이 배우자의 신뢰성에 의문을 품는 경우가 많아지고
실제로 부부사이 태어난 아이가 친자가 아님을 확인하고 이혼하게 되는 경우도 있고
그러한 사연들이 또 넷상에서 퍼지고 공유되며 기혼남성들은 의문을 품고
미혼남성들은 여성의 신뢰성에 의문을 갖게 되며
궁극적으로 결혼을 기피하게 되는 현상도 있다고 봅니다
또한 외국과 한국의 친자확인을 대하는 인식부터가 배우자의 부정을 확신할때만 한다고 인식하는 한국과 다르게 외국에서는 오히려 서로의 신뢰 증가를 위해 기념으로 한다는 인식차이가 존재합니다
이러한 인식도 바꾸고 부부간의 신뢰에 애초에 불화가 생기지 않도록 출생한 아이의 친자확인검사를 산부인과에서 의무적으로 시행하는 법안을 제정해주셨으면 합니다.
의무로 지정시 국가 예산이 발생하는 점이 걱정될 수 있지만
장기적으로 보면 오히려 대한민국의 혼인과 출산율증가에 기여할수 있는 법안이라고 생각됩니다.
1. 출생과 동시에 병원에서 의무적인 친자확인검사를 통해 부부 중 어느 한쪽의 친자불일치 의심으로 인한 가정불화를 차단하여 이혼증가를 예방할 수 있습니다.
2. 친자확인 의무화로 미혼남성들이 결혼후 친자불일치로 잠재적 배우자에 대한 신뢰성 증가로 미혼세대들의 결혼과 출산에 대한 부정적 기피를 해소할 수 있습니다.
3. 미혼여성들의 경우 아이의 친부에게 혼인이나 양육비를 청구할 수 있는 기반을 제공할 수 있습니다.
4. 출생 친자확인검사를 통한 인증을 기념하고자 신혼부부들의 출산율이 증가할 수 있으며, 그와 관련한 유행이 새로운 경제산업을 창출할 수 있습니다.
예를들어 출생부터 친자확인검사지가 들어간 아이의 성장앨범 만들기 등이 유행할 수 있고 그로인해 다양한 업체들이 생겨날 수 있으며, 성장한 아이와 부모는 서로간의 유대감도 돈독해지는 좋은 영향이 있을거라 생각합니다.</t>
  </si>
  <si>
    <t>신생아 출생시 병원에서 의무적으로 친자확인검사를 시행하도록 하는 법안을 논의하고 제정하게되면 우리의 유형효과를 크게기대한다.</t>
  </si>
  <si>
    <t>1. 안녕하십니까? 귀하께서 국민신문고를 통해 신청하신 국민제안(신청번호 1AB-2304-0009739)에 대한 검토 결과를 다음과 같이 알려드립니다.
2. 귀하의 제안사항에 대해 검토한 의견은 다음과 같습니다.
 ○ 「생명윤리 및 안전에 관한 법률」(이하 "생명윤리법") 제46조제2항에 따르면 다른 법률에 특별한 규정이 있는 경우를 제외하고는 누구든지 타인에게 유전자검사를 받도록 강요하거나 유전자검사의 결과를 제출하도록 강요하여서는 안된다고 규정하고 있습니다. 또한 제51조에 따르면 유전자검사기관이 유전자검사에 쓰일 검사대상물을 직접 채취하거나 채취를 의뢰할 때에는 검사대상물을 채취하기 전에 검사대상자로부터 검사의 목적 등에 대하여 충분히 설명하고 서면동의를 받아야 합니다.
 ○ 유전자검사 결과로 도출된 유전정보는 고유성, 불변성 및 영속성 등의 특성에 따라 개인정보 중에서도 민감정보에 해당하여 유전정보의 수집 및 관리에 특별한 주의가 필요합니다. 따라서 유전자검사를 실시하기 위해서는 자발적 동의가 반드시 전제되어야 할 것으로 판단됩니다.
3. 귀하의 제안에 감사드리며, 기타 보다 자세한 내용이 알고 싶으시다면 보건복지콜센터(129번) 혹은 보건복지부 생명윤리정책과(담당자 044-202-2614)로 문의하시기 바랍니다. 늘 건강하시고 평안하시길 바랍니다. 감사합니다.  끝.</t>
  </si>
  <si>
    <t>저출산문제 해결 방안 - 아픈아이를 위한 가족돌봄휴가제도 의무화</t>
  </si>
  <si>
    <t>저출산문제가 심각한 요즘.
저출산의 큰 이유 중 하나는 양육의 부담이라고 생각합니다. 일과 양육을 함께 하는 부모들의 양육의 부담은 더욱 크지요. 아이를 양육하는 맞벌이 부부가 가장 힘든 순간 중 하나는 아이가 아플 때입니다. 갑자기 휴가를 내기도 어렵고 친척이 아이를 봐주기도 어려운 상황이라면 난감할 수밖에 없습니다. 게다가 면역력이 약한 아이들은 예고도 없이 아플 때가 많아 그때마다 맞벌이 부부들은 ‘위기’를 맞습니다.
특히 아이들이 법정 전염병에 걸렸을 경우 약 일주일 정도 어린이집, 유치원, 학교를 보내지 못하는데 직장을 다니는 부모가 휴가를 내지 못하는 경우가 많습니다.</t>
  </si>
  <si>
    <t>1. 코로나로 인한 근로자의 가족 돌봄 휴가 한시적 지원정책을 영,유아기를 둔 부모(근로자)들에게 의무적으로 지원하는 보편적정책이 이루어졌으면 합니다.
 - 법정 전염병에 한해 가족돌봄 유급휴가 지원
 - 가족돌봄유급 지원하는 기업에 지원금 제공
2. 노원구 '아픈아이돌봄센터' 가 설립되어 있습니다. 맞벌이 부부를 위해 전국적으로 설치되었으면 합니다.</t>
  </si>
  <si>
    <t>맞벌이 가정의 양육의 부담을 줄여줄 수 있으며, 양육의 부담으로 인해 퇴사, 경력단절 등을 최소화하여 저출산 문제를 극복할 수 있다.</t>
  </si>
  <si>
    <t>1. 안녕하십니까? 국민신문고로 접수된 귀하의 제안 중 우리부 소관사항에 대하여 다음과 같이 답변드립니다.
2. 귀하께서 제안하신 내용은 노원구 ‘아픈아이돌봄센터’의 전국적 확대에 대한 사항으로 이해됩니다. 
3. 우리부에서는 돌봄이 필요한 아동에게 양질의 돌봄서비스를 제공하고 맞벌이 가구의 육아부담 경감을 위해 다함께돌봄센터, 지역아동센터의 설치·운영 지원을 위한 다함께돌봄사업, 지역아동센터 지원 사업을 추진하고 있으며 '22년 12월말 기준 전국 5,134개 센터에서 128,270명의 아동에게 돌봄서비스를 제공하고 있습니다.
  * (다함께돌봄센터) 안전하고 접근성 높은 지역 내 공공시설 등을 활용하여 돌봄이 필요한 초등학생에게 지역여건, 수요를 고려한 다양한 서비스 발굴·제공
  * (지역아동센터) 방과후 돌봄이 필요한 지역사회 아동의 건전육성을 위하여 보호·교육, 건전한 놀이와 오락의 제공, 보호자와 지역사회의 연계 등 종합적인 복지서비스 제공
4. 맞벌이 가구의 양육부담 완화를 위한 돌봄인프라 확대 필요성에 대한 귀하의 의견에 공감하나, 귀하의 제안은 기추진 중인 정책과의 기능 중복 여부, 예산 마련 등 중장기적인 검토가 필요한 사안으로 현재는 불채택 처리함을 알려드리며, 보다 나은 아동돌봄서비스를 제공받으실 수 있도록 지속적으로 현장과 소통하며 고민하겠습니다. 
5. 귀하의 소중한 의견에 다시 한번 감사드리며, 기타 문의사항이 있으신 경우 보건복지부 인구정책총괄과(044-202-3409) 또는 보건복지콜센터(국번없이 129)로 연락주시면 안내드리겠습니다. 감사합니다.  끝.</t>
  </si>
  <si>
    <t>저출산정책에 대한 제안입니다.</t>
  </si>
  <si>
    <t>분열이 아닌 협력과 협동으로
지역내 가족같은 분위기를 만들어가며
일자리, 저출산 등 많은 문제들에 대하여
지역민들이 협력해서 해결해가는 것이
방법인 듯 합니다.</t>
  </si>
  <si>
    <t>1)
인구수를 지표화해서 지역의 관공서와
지역민이 협력하여 책임관리하는 것으로
정부와 지역의 시청과 주민센터에 전광판을 두어
인구현황, 지속가능한 지역 적정인구 목표산출,
목표달성 % 등의 목표를 수치화하여 표시하여
저출산문제에 대해 적극참여할수 있도록하며
지원정책 등을 홍보하여
상황을 보며 모두가 지역내 소속감을 가지고
위기의식과 책임과 번영을 느끼면서
함께 해결하고, 동참하는 노력이
필요한 듯 합니다.
2)
지역의 문제를 축제로 만들어
일자리와 저출산에 대하여
긍정적으로 접근하여 해결해가는
노력이 필요한 듯 합니다.
지역민의 수요와 공급에 대하여
적극적이고 긍정적인 활동을 통하여 공유하여,
서로의 수요와 공급에 대한 만족도를 높혀
가는 것입니다.
일자리에서
지역에서 인재를 책임지고 키우며
공동으로 번영하는 지역책임장인제도를
생각해보거나
지역공모, 교육, 경제활동 등의
수요와 공급을 플랫폼화하여
적극적으로 참여하도록 유도하며 자율적으로
경제시장을 형성해가거나
수요와 공급에 대한 참여과정을
함께 동참하여 해결해나가는 행사를 하는 것처럼
저출산문제에서
수요와 공급에 대한 참여과정 또한
솔로탈출, 관심사 짝만들기
결혼보내기, 가족만들기,
사돈만들기, 지역커플만들기 등을
각 지역에서 플랫폼화하여
연애, 결혼에 대한 긍정적인
사회분위기를 만들어가는 것을 생각해봅니다.
3)
그리고
장기간의 저출산으로 인구절벽현상에 대한
적극적인 활동으로 다자녀두기프로젝트, 다자녀지원금 등
국가의 정책, 지역의 공통정책으로 하여
능동적이고 적극적인 실천이 필요해보입니다.</t>
  </si>
  <si>
    <t>육아휴직을 할수 있는 사회 및 직장분위기를 만들어 주는 것이 필요할 것입니다.
그러나 생계를 이어갈수 있어야 이 부분이 보완이 될듯합니다. 그래서 일시적인 지원금이 아니라
기본소득처럼 최소한의 기초생활비가 계속적으로 주어진다면 심리적으로 부담감이 덜어지고
아이를 낳고 출산을 함으로서 생활비가 더해지니 도움이 되지 않을까 생각을 합니다.
그래서 저출산정책과 기본소득정책을 함께 생각해봅니다.</t>
  </si>
  <si>
    <t>1. 안녕하십니까? 귀하께서 국민신문고를 통해 제안주신 사항에 대해 검토한 결과를 다음과 같이 안내드립니다.
2. 제안주신 사항은 저출산 완화를 위한 사회환경 조성 등에 관한 사항으로 이해됩니다. 
 ○ 우리나라의 저출산 현상은 노동시장 격차, 불안정 고용, 교육 경쟁 심화, 높은 주택 가격, 일·가정 양립의 어려움, 돌봄 공백과 같은 사회경제적 요인, 인식과 태도변화와 같은 문화·가치관 측면의 요인, 주출산 연령대 여성인구의 감소, 혼인율의 지속적 하락과 초혼연령의 상승, 기혼가구의 평균 출생아수 감소 및 무자녀 비율 증가와 같은 인구학적 원인에 따르나 총제적 결과로 분석됩니다.
  ○ 이에 정부는 초저출산 추세를 엄중하게 인식하고, 결혼·출산·양육이 행복한 선택이 될 수 있는 사회 환경 조성을 위해 양육비용 부담 경감, 촘촘하고 질 높은 돌봄과 교육, 가족친화적 주거서비스, 임산부와 아동의 건강지원 강화, 일·육아 병행 지원 내실화 등 법부처적 정책대응 노력을 기울이고 있습니다.
   - 참고로 다자녀 가구의 양육부담 완화 등을 위해 아이돌봄서비스 우선지원, 다자녀가구 청약 특별공급, 국민연금 출산크레딧,  다자녀가구 넓은평형 우선공급,  다자녀 가구 학자금 대출 우대, 다자녀가구 대학등록금 지원(소득기준 고려) 등 지원이 이루어지고 있음(상세 내용은 해당 서비스의 누리집 참고)
  ○ 저출산 고령화 정책과 관련하여 관심을 갖고 소중한 제안을 해주심에 감사드리며, 향후 정책을 수정 보완하는 과정에서 귀하께서 말씀하시는 취지를 고려하여 검토하도록 하겠습니다.  
3. 귀하의 가정에 평안과 행복이 깃드시길 바라며, 기타 문의사항이 있으신 경우 보건복지부 인구정책총괄과(044-202-3367) 또는 보건복지콜센터(국번없이129)로 문의주시면 안내드리겠습니다. 감사합니다.  끝.</t>
  </si>
  <si>
    <t>장기요양기관 대표 겸 시설장 출산 및 육아휴직 사용권 보장</t>
  </si>
  <si>
    <t>현재 장기요양기관(요양원) 대표겸 시설장은 사업주로 보기때문에 근로기준법 적용이 안됩니다.
장기요양법 기준으로 대표겸시설장은 연간 연차10일외에는 다른 휴가를 사용할 수 없기때문이죠.
하지만 여성 대표겸시설장은 이러한 법에서 보호받아야 한다고 생각합니다.
현재 장기요양기관 여성 대표겸시설장은 사업주라 출산을 해도 출산휴가나 육아휴직을 사용할 수 없고 장기요양법 월 기준근로시간을 지키지 않을 경우 인력배치위반으로 감산이 되기때문에 모성보호를 전혀 받을 수 없습니다. 일반 사업주와는 다른점이죠.
출산일을 포함해 10일 후 근무를 해야한다는게 말도 안된다고 생각합니다.
또한 출산휴가나 육아휴직을 시행하기위해서는 대표겸시설장을 다른 명의로 시군구에 신고하고 설립허가증을 재발급 받아야 하는데 요양원설립은 자가건물에서만 가능하기때문에 대표겸 시설장은 이러한 규정또한 무의미합니다.
저출산문제가 크게 화두되고 있는 현재의 상황에서 장기요양기관 여성 대표겸시설장에게 모성보호에 대한 규정만큼은 시행될 수 있도록 하는 바램입니다.</t>
  </si>
  <si>
    <t>1. 안녕하십니까. 귀하께서 국민신고를 통해 신청한 제안(신청번호 1AA-2304-0882211)에 대한 검토 결과를 다음과 같이 안내드립니다. 
2. 귀하의 민원은 장기요양기관 대표자겸 시설장의 출산휴가·육아기 근로단축 시간 및 시설장 대체인력에 대해 말씀하신 것으로 이해됩니다.
3. 「장기요양급여 제공기준 및 급여비용 산정방법 등에 관한 고시」 제51조 근무인원 수 산정방법에 따르면 '근무인원 1인'으로 계산하기 위해 직원 1인은 휴게시간을 제외하고 고시 제49조에 따른 월 기준 근무시간 이상 신고한 직종으로 실 근무하여야 하며,
 - 「장기요양급여 제공기준 및 급여비용 산정방법 등에 관한 세부사항」제12조에 정하는 사항의 경우 근무를 하지 않더라도 월 기준 근무시간에 포함하여 인정하고 있습니다. 
4. 고용노동부의 해석에 따르면, 장기요양기관 대표자는 사용자의 지위에 있어 실질적인 권한을 가지고 업무대표권과 업무집행권을 행사할 경우 사용자로 판단할 수 있을 것이며, 
 - 「근로기준법」에 따른 출산전후휴가 및 「남녀고용평등과 일·가정 양립지원에 관한 법률」에 따른 육아기 근로단축 시간 사용 대상에 해당하지 않으므로, 세부사항 제12조에서 정하는 경우에 해당하지 않습니다. 
5. 귀하께서는 대표자겸 시설장이 출산·육아를 하는 경우 출산휴가·월 기준 근무시간 단축 등을 요청하셨으나, 
 - 시설장은 「노인복지법 시행규칙」에 따른 상근의무가 부여되어 있고, 「장기요양급여 제공기준 및 급여비용 산정방법 등에 관한 고시」에 시설장은 상근 시간 외에도 응급상황 등에 대처할 수 있도록 대비하여야 한다고 정하고 있는 점을 종합적으로 고려하였을 때, 신중한 검토가 필요한 사항임을 알려드립니다. 
6. 아울러 「노인복지법 시행규칙」〔별표4〕에 따라 장기요양기관의 규모별·직종별로 인력을 배치하여야 하며, 종사자는 시설의 설치·운영자와 근로계약이 체결된 사람
으로서 신고한 직종으로 해당 기관에서 근무하여야 하므로,
 - 장기요양기관 대표자겸 시설장이 근무가 곤란한 경우, 대표자는 「노인복지법 시행규칙」[별표4]의 자격기준을 갖춘 시설장을 채용할 수 있음을 안내드립니다.
7. 종사자 대체인력에 관한 사항은 요양보험운영과(044-202-3516), 노인장기요양보험 제도에 관한 사항은 보건복지상담센터(129) 또는 요양보험제도과(044-202-3505)로 문의하여 주시기 바랍니다.  끝.</t>
  </si>
  <si>
    <t>고령임산부의 출산시까지 비용부담을 정부가 모두다 책임져야한다.</t>
  </si>
  <si>
    <t>요즘은  결혼적령기가 늦어지는 추세이고 보니 임신하는 여성들도 나이대가 높아지고 있다.
임산부의 나이가 높아지다보니 고령의 임산부들이 안고있는 문제점들도 나타나기 시작했다.
난산으로 인한 위험도 증가하고  그러다보니 자연히 제왕절개로 인한 분만도 늘어나는것 같다.
문제는 아이를 갖고 낳을때까지 정부에서 지원되는 혜택으로 모든것이 충족될것이라는 생각이 잘못된 것이라는 것이다.
의사의 판단으로 제왕절개의 유무가 결정되면 비용부분에서 임산부 개인이 지출할 부분이 생기는데 거의다 비보험이고  그렇게되는경우 비용이  상당히 들어가게 된다.
정부에서는 임산부들에게 많은 혜택을 주고 있다고는 하지만 노령의 산모들에게 못 미치고 있다.
어렵게 임신 (난임치료도 어렵고)을 하고도 낳기까지 합병증등으로 문제들을 안고 있어 실손보험을 적용하는데도 문제가 생기기 마련이다.</t>
  </si>
  <si>
    <t>정부에서는 말뿐인 인구감소로 인한  임산부의 혜택을 늘린다고만 하지말고 모든 임산부들에게 들어가는 비용일체를 임산부 개인의 비용은 전혀없이  모두 다 정부에서 지원해 주어야 할것이다.</t>
  </si>
  <si>
    <t>그래야만 마음놓고 고령의 산모들도 아이를 낳을수 있을것이다.</t>
  </si>
  <si>
    <t>1. 안녕하십니까? 귀하께서 국민제안을 통해 보건복지부 업무와 관련하여 제안하신 안(1AB-2306-0000613)에 대해 회신드립니다.
2. 귀하의 제안은 "출산비용 전액 국가지원"에 관한 내용으로 이해됩니다. 
  가. 우리부는 임신·출산 지원정책 전반에 고령 산모 등을 위한 지원을 강화하고 있습니다.
  나. 현재 산모·신생아 건강관리, 고위험 산모·신생아 통합치료센터, 생애초기 건강관리, 난임부부 시술비 지원, 고위험임산부 의료비 지원 등 여러 사업을 통해 산모의 건강한 출산을 지원하고 있고, 
  다. 제안하신 내용과 관련하여 고위험 임산부 의료비 지원 및 미숙아·선천성이상아 의료비 지원 확대, 사전 임신 사전건강관리사업(가임력 검진비 지원) 등의 건강임신 지원정책도 추진하는 등 지원을 확대해 나가도록 하겠습니다. 
3. 답변 내용에 대한 추가설명은 보건복지상담센터(129) 또는 보건복지부 출산정책과(044-202-3394)로 연락주시기 바랍니다. 감사합니다.  끝.</t>
  </si>
  <si>
    <t>저출산 문제 해결에 관한 제언</t>
  </si>
  <si>
    <t>저출산 문제 해결에 관한 제언.hwp</t>
  </si>
  <si>
    <t>생략</t>
  </si>
  <si>
    <t>1. 문화적 접근
2. 임산부 의료비 면제
3. 복지제도의 개편
4. 불확실성을 최소로 하는 정책
5. 지방 우선 정책
6. 임대주택 정책 방향
7. 다자녀 부부에 대한 혜택을 가능한 많이 찾아 늘려준다.
8. 보육시설 확충, 보육사 교육 강화</t>
  </si>
  <si>
    <t>이 정도의 방법으로는 저출산 문제를 획기적으로 해결할 수는 없다.
그러나 어느 정도 보탬은 될 것이라고 본다.</t>
  </si>
  <si>
    <t>1. 안녕하십니까? 보건복지부 인구정책총괄과입니다. 귀하께서 국민제안을 통해 건의해주신 내용에 대한 검토 결과를 다음과 같이 알려드립니다.
2. 귀하께서는 방송 프로그램에서 저출산 문제 해결을 위한 관점이 필요하다는 건의를 하신 것으로 이해됩니다. 
3. 정부는 출산·양육에 대한 인식 제고와 가족 친화적인 사회 분위기 조성을 위하여 '함께육아, 행복육아’라는 슬로건을 중심으로 캠페인 영상을 활용하여 온라인 광고, TV, 옥외 광고 등을 진행한 바 있으며, 올해도 출산과 양육에 대한 인식 변화를 위한  홍보를 계획 및 추진 중에 있습니다.
 ㅇ 다만, 언론과 방송은 국민에게 유해하지 않은 범위 내에서 독립성을 가지고 고유의 프로그램을 편성하여 방송할 헌법상 권리가 있어 정부에서 방송 프로그램의 제작 보도 방향을 제시하는 것은 신중한 검토가 필요한 사항입니다.
 ㅇ 향후 언론계와 저출산 심각성, 결혼 및 출산양육 친화적인 인식개선 중요성 등의 인식을 함께하고 우리사회 가족친화적인 여건조성을 위해 함께 할 수 있는 협력 방안을 논의할 수 있는 기회를 만들어 나가겠습니다. 
4. 저출산 정책에 관한 소중한 의견 주셔서 감사드리며, 기타 문의사항이 있으신 경우 보건복지부 인구정책총괄과(044-202-3373) 또는 보건복지부 콜센터(국번없이 129)로 연락주시면 안내드리겠습니다. 감사합니다.  끝.</t>
  </si>
  <si>
    <t>저출산에대한 대책</t>
  </si>
  <si>
    <t>갈수록 심각해지는 저출산 고령화에 대하여 많은 정책과 대안이 있지만, 실요성이 있지 않아, 국민 한 사람으로서
걱정 됩니다. 이런저런 정책으로 돈을 쏫아 부어도  저출산 문제는 해결기미가 없네요.
시골에는 아이들 모습이 사라지고, 놀이터에서 놀고 있는 몇몇아이들을 볼때면  귀한 장면을 보고 있는것 같아
정상적인 것이 더 이상 정상적 이지 않으니 큰 일이 아닐 수 없습니다.
소시민 으로서 그저 평범하게 살고 있는 60대 주부 입니다.
뉴스에는 서을의 모 고등학교도 더이상 아이들이 없어서 통폐합 하고 폐교 된다고 합니다.
이곳 시골은 아이들이 없고 나이 많은 노인들 뿐 입니다.
나라의 국력은 젊은 인구가 많을때 더 강력해 지는것 아니겠습니까?  아주 변변한 제안을 드립니다</t>
  </si>
  <si>
    <t>우선 출산율을 높이려면, 아이를 낳고 기룰 수 있는 경제력이 제일 우선 인데요, 그래서 정부에서는 각 가정마다 
많은 지원을 하고 있는 것으로 알 고 있습니다.
아이를 낳고, 가르치고 ,결혼하고 정말 많은 돈이 들어가기 때문에,  결국 노후에 가난해지니  결혼해서 아이를 낳지
않거나, 아니면 1명만 낳는 겁니다.  낳을 수록 손해만 보는 느낌?
그러므로 ,저는 아이를 낳아서 키운 사람은 노후에 걱정없이 살아갈 수 있도록 특별한 연금을 주는 것입니다.
태어날때도 주면 좋으나, 특히 정년퇴직하고 노후에  아이를 둘 이상 낳으면 국민연금을 더 주는 것입니다
그러면 키울때 힘들어도 든든한 노후을 국가가 보장 해 주니  얼마나 든든 할까요.
물론 제정이 더 필료하겠지만, 불필요한 지출을 줄이거나 다른이유로 더 걷느다면 가능하다고 생각합니다.</t>
  </si>
  <si>
    <t>교육비 지출이 저출산을 유발합니다.  아이를 낳고 교육을 시키는데 많은 돈이 들어가니 정말 결혼해서 아이낳고
살 엄두가 나지 않겠지요, 누군들 부모가 아이를 원하지 않는 사람은 없다고 생각합니다.
힘들어도 아이 낳고 키우는 기쁨을 느낌면서  잘 살아간다면 얼마나 멋찌겠는지요.
안낳는 사람보다  아이낳고사는 사람에게 더 특별히 연금으로 확실히 보장해 준다고 하면 그거 밑고 즐겁게 낳고 키울 수 있지 않을까요. 국가가 노후를 보장해 준다면 즐거운 마음과 든든한 기대감으로 잘 낳고 키울수 있을것 같습니다. 
두서없는 의견을 들어주셔서 감사합니다. 조금 참고 했으면 합니다.</t>
  </si>
  <si>
    <t>1. 안녕하십니까. 국민연금제도에 많은 관심을 갖고 국민제안을 올려주셔서 감사드립니다.
2. 귀하의 제안내용은 “출산율 제고를 위해 아이가 두 명 이상이면 국민연금 지급액 추가 요청”에 관한 것으로 이해됩니다.
  가. 귀하의 제안과 같이 국민연금에서는 출산이라는 사회적으로 가치 있는 행위에 대하여 보상하고 노후소득보장을 실현하고자 하는 취지에서 “출산크레딧” 제도를 운영하고 있습니다.
  나. 즉, 자녀의 수가 2명 이상이 되는 경우 국민연금의 노령연금 수급권을 취득한 때 자녀 수에 따라 국민연금 가입기간을 최대 50개월까지 추가로 산입하고 있음을 알려 드립니다(국민연금법 제19조).
      * 예를 들어, 10년간 보험료를 납부하고 출산크레딧 대상 자녀가 2명인 경우 12개월의 가입기간을 추가 산입하여 132개월을 기준으로 노령연금액을 산정
  다. 아울러, 귀하의 제안취지와 같이 저출산 고령화 대책 마련의 필요성에 공감하고 있으며, 앞으로도 관련 제도 개선을 지속적으로 검토 예정임을 알려 드립니다.
3. 이상으로 답변을 마치오며 답변내용에 추가 문의사항이 있으시면 국민연금공단 콜센터(국번없이 1355) 및 보건복지상담센터(129) 또는 보건복지부 연금급여팀(044-202-3637)으로 연락 바랍니다. 감사합니다.  끝.</t>
  </si>
  <si>
    <t>저출산을 예방하기 위한 대책으로 먼저 학교.시청.구청으로 확대해서 어린이집을 만들어 직장을 다니는 엄마들에게 안심적인 육아맘이 되도록 하자</t>
  </si>
  <si>
    <t>현재 저출산으로 인해서 국가적으로 위기이기도 하다
출산율이 0.78명이라니 미래가 걱정이 아닐 수 없다
그러니 먼저 학교.시청.구청.등 공공 기관부터 차례로 어린이집을 개설해서 가까운 곳에서 믿고 맡길 수 있는 근무 환경을 만들어 주어야 된다고 생각한다.
그러면 젊은이 들이 출산을 고려해 출산율이 증가하게 될 것이다
요즘은 남녀 맞벌이로 더욱더 아이 봐줄 사람이 없어 문제가 되고 있는 상황이기 때문이다</t>
  </si>
  <si>
    <t>육아 맘들이 출 .퇴근시 함께 아이와 다닐 수 있으면 시간도 절약되고 안심하고 맡길 수 있어
장점으로 출산을 장려하게 될 것이다</t>
  </si>
  <si>
    <t>0 아침시간 특히 출근 준비등 분주하게 움직이게 되는데 같은 장소에 어린이집이
있으면 출.퇴근시 시간도 절약하고 일석이조의 효과로 많은 도움이 될 것임.
0 정부의 적극적인 대처로 젊은이들에게 믿음을 주게 될 것임.</t>
  </si>
  <si>
    <t>1. 안녕하십니까? 귀하께서 제안하신 제안은 “공공기관 직장어린이집 확충 제안”에 대한 내용으로 이해됩니다.
2. 귀하의 제안을 검토한 결과를 다음과 같이 안내드립니다.
○ 영유아보육법 제14조 및 동법 시행령 제20조에 의하여 상시 여성근로자 300명 이상 또는 상시근로자 500명 이상을 고용하고 있는 사업장은 직장어린이집을 의무적으로 설치하여야 하며, 사업주가 직장어린이집을 설치할 수 없을 때는, 사업주 공동으로 직장어린이집을 설치·운영하거나 지역의 어린이집과 위탁계약을 맺어 근로자 자녀의 보육을 지원하도록 하고 있습니다.
○ 2023년도 보육사업안내에 따라, 시·도지사는 관내 시·도, 시·군·구청 내 유휴공간(또는 별도 신축)을 활용하여 직원(국가·지자체와 계약을 체결한 공무원이 아닌 자 포함) 자녀를 위한 직장어린이집을 설치해야 하며, 직장어린이집은 근로자의 자녀 양육 지원 환경을 조성하는데 그 목적이 있으므로 공공기관의 경우 우선적으로 직장어린이집을 설치·운영해야 합니다.
○ 다만, 영유아보육법 제28조 제2항에 따라 사업주는 사업장 근로자의 자녀가 우선적으로 직장어린이집을 이용할 수 있도록 하여야 하며, 공공기관 직장어린이집의 경우 일정수준 이상의 여유가 있을 경우에 지역 아동도 이용할 수 있도록 지역사회에 직장어린이집을 개방할 수 있다는 점을 양지해주시기 바랍니다. 
3. 이밖에 궁금하신 사항이나 추가 질의가 있는 경우에는 보육정책과(044-202-3551, 3555) 또는 보건복지상담센터(국번없이 129번)로 연락주시면 안내해 드리도록 하겠습니다. 감사합니다.  
붙임  국민제안신청서 1부.  끝.</t>
  </si>
  <si>
    <t>저출산대책 전국 통일안 제안</t>
  </si>
  <si>
    <t>현재 인구 소멸 관련 저출산 대책을 각 지역별로 대책을 내놓고 있는 실정입니다.
서울, 옥천 등은 산후조리지원금을 주겠다는 정책을 뉴스 기사를 통해 접할 수 있습니다.
인구가 감소하고 지역별로 출산대책을 내놓고 있는 와중에
그 외의 지역에 거주하는 인원은 타 지역에 비해 출산율이 높은 편이니 아무런 대책이 없는건가 답답한 마음 뿐 입니다.
조리지원금 뿐만아니일부지역은 은 2자녀부터 다자녀로 인정해주는등
지역별로 지원정책이 너무 상이하여 지역 이탈율을 야기할 수 있습니다.
지원이 없는 지역부터 고령화가 시작되고 있고 인구가 소멸 될것입니다.</t>
  </si>
  <si>
    <t>각 지자체 별 저출산 대책을 정부적 차원에서 전국 통일안으로 제시 부탁드립니다
가구당 월 소득 분위에 따른 금액이 차등되어야 한다면 차등은 두되
소득이 높다고 아예 지원을 안하는 것이 아니라
정책은 모두가 동일하게 적용될수 있게
대한민국 국민 모두에게 동일 적용될수 있는 정책을 펼쳐주십시오</t>
  </si>
  <si>
    <t>출산지원정책에 따라 지역이탈율을 방지하고 
정부적차원에서 통일안을 제시한다면
현재 정부의 답없는 저출산 대책에 대해 반감만 일어나는 현상을 조금이나마 감소하고
국민들이 보다 정부를 신뢰할 수 있게 해 주십시오</t>
  </si>
  <si>
    <t>1. 안녕하십니까? 귀하께서 국민신문고를 통해 제안주신 사항에 대해 검토한 결과를 보건복지부 인구정책총괄과에서 답변드리겠습니다.
2. 귀하께서 제안주신 사항은 '개별 지자체에서 지원해주고 있는 출산 지원 사업의 동일 적용'에 대한 사항으로 이해됩니다.
 ㅇ 현재 저출산 지원정책은 각 법률의 입법 및 지원취지를 고려하여 지원사업의 근거가 되는 각 법률에 기반하고 있습니다. 각 법률의 입법 및 지원취지가 상이하고, 지자체의 경우에는 인구유출 방지 및 유입 유인, 지방재정여건 등 지자체 사정에 따라 지원대상(2자녀 또는 3자녀, 기준자녀 연령 등) 및 지원 수준을 조례마다 다르게 정하고 있으며, 이는 지자체 사정이 각기 다른 점을 고려할 필요가 있습니다. 
3. 저출산 고령화 정책에 관심을 갖고 소중한 제안을 해주심에 다시한번 감사드리며, 정부는 체감도 높은 정책을 지속 발굴하고, 더불어 향후 정책을 수정·보완하는 과정에서 귀하의 제안취지를 고려하도록 하겠습니다.
4. 귀하의 가정이 평안하시길 바라며, 기타 문의사항이 있으신 경우, 보건복지부 인구정책총괄과(044-202-3367) 또는 보건복지부콜센터(국번없이129)로 연락주시면 안내드리겠습니다. 감사합니다.  끝.</t>
  </si>
  <si>
    <t>저출산 대책(출생축하)출생신고대행도우미, 백일, 첫돌 축하금 지급</t>
  </si>
  <si>
    <t>출생신고는 개인에게 전담하도록 함으로써, 최근 영아유기 등 사회문제가 되고 있다. 양육문제로 출생신고를 기피하고 영아유기 등의 범죄가 늘어나고 있다. 정부에서는 수년간 저출산대책 시행을 위해서 범국민운동을 하고 막대한 정부 예산을 쏘다붇고 있다는대, 현실은 정부의 특단의 대책시행이 없는 한,  저소득세대에 아무런 도움이 되지 못하고 있다.</t>
  </si>
  <si>
    <t>저출산 대책(출생축하금 지급)출생신고대행도우미, 조리원입원비 지원,  백일, 첫돌 축하금 지급 등으로, 출생아동에대한 지원을 강화하고,
임산부에서 부터 정부지원.관리가 시행되어야 한다.( 출산 예정일에 맞춰서, 출생축하 준비 및 출생신고 대행써비스 준비 등 )</t>
  </si>
  <si>
    <t>저출산 대책이 출생이후 부터, 출생신고가 완료된 시점부터 시행되는 것이 아니라,
임산부에서부터 조기에 저출산대책이 발동되도록 함으로서, 영아유기, 출생미신고 등을 예방할 수 있고, 
출산율 상승에 기여할 수 있다.</t>
  </si>
  <si>
    <t>1. 안녕하십니까? 귀하께서 국민신문고를 통해 신청하신 제안(1AB-2306-0051122)에 대하여 회신 드립니다.
2. 귀하께서는 출산지원금 혜택 강화를 건의하신 것으로 이해됩니다.
3. 제4차 저출산 고령사회 기본계획에 따라 육아에 대한 경제적 부담 완화를 위해 아래와 같은 정책을 추진하고 있습니다.
 ○ 첫만남꾸러미Ⅰ: 임신,출산 의료비 바우처 100만원 지원('22년부터 신청일부터)
 ○ 첫만남꾸러미Ⅱ: 출생시 아동당 200만원 지원 ('22년 출생아부터 지원)
 ○ 아동수당 : 보육시설 이용여부 관계없이 만8세 미만 아동에 월 10만원 지원
 ○ 부모급여 : 만0세 아동 월 70만원, 만1세 아동 월 35만원 지원('24년부터 만0세 아동 월 100만원, 만1세 아동 월 50만원으로 확대) 또는 어린이집 이용시 51만 4000원의 보육료 바우처 지급(만 0세는 부모급여와 보육료 바우처 차액인 18만 6000원 현금 추가지급)
  * 현행 가정양육수당과 보육료바우처를 통합한 수당으로 '22년 출생아부터 적용
 ○ 가정양육수당: 보육시설 미이용 만2~7세 아동에 월10만원 지원('22년 이전 출생아에 적용)
 ○ 보육료지원 : 보육시설 이용 만0~1세 영아에 바우처로 월 50만원 지원, 만2~7세 아동에 월28~30만원 지원(’22년 이전 출생아에 적용)
  ※ 상위 제도는 자녀순서에 관계없이 모든 아동 1명에게 동일 지원
4. 아동 진료비 본인부담률 인하, 고위험 임산부 의료비지원 대상 질환 확대 등 아이를 낳고 기르는데 필요한 의료비 부담을 완화하였으며, 무상보육, 무상영유아교육, 초중고 무상교육실시('19), 다자녀가구 셋째이후로 대학등록금 면제(첫째,둘째는 감면) 등 교육비 부담완화를 위한 다양한 정책을 추진 중에 있습니다. 
  - 또 일-양육 병행이 가능한 노동환경 구축울 위해 출산전후 휴가급여 인상, 육아휴직 급여 확대(통상임금의 80%, 최대 월 150만원) 및 특례적용(출산1년이내 부모모두 육아휴직시 부모각각에 최대 200만원 3개월 지급)등의 양육부담 완화 정책을 대폭 확대하여 실시하고 있습니다.
5. 현재 출산가정을 위해 여러가지 정책을 시행중에 있으며 귀하께서 제안하신 내용에 대해서는 사회적인 합의 및 중장기 검토가 필요할 사항으로 판단됩니다.
6. 답변 내용에 대한 추가 문의사항이 있으신 경우 보건복지부 보건복지콜센터(국번없이 ☎ 129) 또는 출산정책과(☎ 044-202-3398)로 연락주시면 성실히 답변 드리겠습니다. 감사합니다.  끝.</t>
  </si>
  <si>
    <t>출산정책 : 아기가 갖고 싶은데 않되는 산모(불임, 난임, 유산, 시험관아기 등)를 위한 정책을 개발해 주세요.</t>
  </si>
  <si>
    <t>현재 출산 정책은 아기가 태어나서 부터 학교다니는 이러한 일련의 과정에 대하여만 정책을 추진하고 있는 것으로 알고 있읍니다. 결혼한 사람 중에 아기를 갖고 싶어도 않되는 사람들을 정부 또는 지자체 또는 동사무소 등에서 공무원이 직접 산모의 애로사항등을 청취하여 정말 불임에 유명한 의사, 난임에 유명한 의사, 유산 자주되는 산모에 유명한 의사, 시험관 아기 관련 유명한 의사 등을 연결해 주고 사후 관리도 해주고 정부지원금도 지원해서 보다 실질적으로 걱정없이 산모들이 애기를 낳을 수 있도록 도와주는 정책을 부탁드립니다.</t>
  </si>
  <si>
    <t>산모들은 직장을 다니면서 산부인과 가기도 힘들고 합니다. 이런한 것도 자유롭게 산부인과 갈 수 있도록 정책을 배려해 주시고 
해서 아기 갖고 싶은 엄마들을 위한 보다 임신 부터 출산 에서 학교 다니기 까지 세세하게 정책을 부탁드립니다. 요증 대부분
늦은 결혼으로 임신이 잘 않되는 산모들을 위한 강좌 라든가 지자체가 일대일도 관리해서 아기를 많이 낳는데 도움을 줄 수 있는 정책을 필요로 합니다. 지금 불우한 환경을 가진 가족들을 관리 하는 공무원 처럼 아기 임신부터 출산하는 것 까지 밀착하여 관리하는 제도를 만들어 주세요</t>
  </si>
  <si>
    <t>지금 산모들은 유산이 되거나 임신이 잘 않되면 산부인과를 이병원 저병원 옮겨다니고 있으며 어느 병원이 어느 분야에 특히 유명한 병원을 모르다 보니 계속 찾아다니다가 세월 다 가고 아기는 임신이 않되는 경우가 있고 시험관 아기를 잘 하는 병원은 어느 병원 인지 시험관 아기 만드은데 들어가는 비용도 만만치 않다고 들었읍니다. 좀더 산모들을 위한 전문적인 단체나 지자체에서 관리를 부탁드립니다</t>
  </si>
  <si>
    <t>1. 안녕하십니까? 귀하께서 국민신문고 국민제안을 통해 신청하신 제안에 대하여 검토 후 다음과 같이 답변드립니다.
2. 귀하의 제안 요지는 '임신·출산 지원사업 추진'에 관한 것으로 이해됩니다.
3. 정부는 난임부부의 경제적 부담을 덜어드리고자 국민건강보험을 통해 소득 수준에 관계없이 난임시술 비용을 지원하고 있습니다. 이와 함께, 저소득층 및 일부 중산층에 대해 건강보험 본인부담금을 보충적으로 지원하는 '난임부부 시술비 지원사업'을 시행하고 있습니다.
  - 참고로, 시술비 지원사업은 정부의 재정분권 추진에 따른 지방이양 결정으로 지방자치단체가 선정 기준 등을 자율적으로 결정하여 추진 중이며, 지속적으로 확대하고 있습니다.
4. 난임부부를 직접 관리하며 유명 전문가와 연결하는 것은 지자체 인력 및 재정 여건, 개인의 의료선택권 보장, 전문가마다 의학적 견해의 차이 등 종합적인 고려가 필요한 사안임을 양해하여 주시기 바라며, 귀하의 고견은 향후 관련 정책 추진 시 함께 검토할 수 있도록 하겠습니다.
  - 아울러, 정부는 체감도 높은 임신·출산 지원을 위한 현장 소통을 추진하고, 여러 지원 정책을 검토하고 있습니다. 난임부부의 건강과 안전성을 고려한 지원이 이루어질 수 있도록 지자체와 협력할 것을 말씀드립니다.
5. 답변에 대한 추가 설명이 필요하신 경우 보건복지부 출산정책과(044-202-3396)로 문의하시면 친절히 안내드리도록 하겠습니다.  끝.</t>
  </si>
  <si>
    <t>저출산을 해결할 수 있는 만족요인을 찾자</t>
  </si>
  <si>
    <t>1. 다양한 매체들로부터 받은 정보에 의하면 우리나라 출산율이 세계적으로 낮은 수준(0.84)이라는 이야기를 많이 듣고 있습니다.(세계 꼴지)
2. 잘 아시고 계시겠지만 인구가 점점 줄어든다는 것은 산업 인력이 점점 줄어들고, 반면 고령화 사회에 의해 젊은이들이 부양해야 할 노인들이 점점 늘어난다는 것입니다.
3. 현재 살기 힘들다라는 말을 정말 많이들 하고 있습니다. 특히, 청년 실업 당사자들의 마음은 찢어지는 기분이 들지 않을까요? 이런 분위기에 결혼을 장려한다는 것도 어쩌면 욕심일 수도 있습니다.
4. 막상 취업을 한다고 해도 월급에서 공제되는 세금 부분은 어떠한가요?
이런 부양에 대한 부분이 직업을 가지고 있는 국민에게 가중되고, 취업을 하지 못한 국민들에게는 혈세로 지원(교육 지원 등)을 하고 있는 실정입니다.
5. 요즘 TV 방송에 보면 반려동물에 대한 방송이 너무나도 많습니다. 동물농장, 나혼자 산다 등 등 저출산에 영향을 미치는 방송 프로그램도 한번 들여다 봐야 할 것 같습니다.
6. 제가 어릴 땐 교과서에서 방글라데시에 이어 한국이 인구밀도가 세계에서 가장 높다고 배웠던 것 같고, 그 시점에 아들 딸 구별 말고 둘만 낳아 잘 기르자 그 이후 하나만 낳자 등등으로 진행하다가 그리고 최근에는 출산 장려에 열을 올리고 있습니다.
7. 얼마되지 않은 세월 동안 정책이 많이 바뀌고 있었던 겁니다. 왜 일까요?
8. 신혼부부들에게 집을 무료로 나누어 주면 출산율이 올라갈까요?
9. 아이들을 잘 키울 수 있도록 출산 장려금을 지속적으로 주면 아이를 많이 낳을까요?
저출산은 그냥 두고 볼 수 있는 문제가 아닙니다. 아주 심각한 문제입니다. 다양한 방법으로 접근하지 않으면 다양한 이유에서 기인하는 저출산 문제를 해결하기는 어려울 것 같습니다. 예산은 예산대로 쓰고, 성과는 나지 않는다면 문제 해결 접근을 바꾸어야 할 것 같습니다. 지난 10년 동안 100조를 쓰고도 출산율이 올라가지 않는다면 완전한 정책 실패 아닌가요?
또, 최근 2단계 정책 방향이 양육 분담 (아빠의 육아 참여)이라는 부분을 알게 되었습니다. 물론 당연히 육아는 부부가 함께 하는 부분에 대해서는 100% 공감합니다. 하지만 이 정책이 원만하게 이어지기 위해서는 사회적 분위기, 기업 문화, 개인들의 가치관부터 확~ 바뀌지 않으면 육아로 인해 보여질 수 있는 남자가 왜 저래? 우리 아들이 애기를 본다고? 김대리는 애키운다고 육아휴직 냈데… 회사가 엄청 바쁘데도 말이야…등등등 육아 휴직 공백이 직장 생활 및 사회생활에 영향을 준다는 인식이 팽배해지게 되는 경우도 배제할 수는 없지 않을까요?
1단계 정책이 완전히 실패로 돌아간 지금, 또다시 동전의 양면과도 같은 육아 분담이라는 정책으로 성공을 거두기는 힘들어 보입니다.
[개선방안]
1. 행복한 가족은 4명 이상이다는 사회적 분위기 확산.
저는 개인적으로 대한민국 전체 분위기를 먼저 바꾸어야 한다고 생각합니다. 금전적인 지원이 모든 것을 해결해 줄 수는 없을테니까요. 대한민국에서 가장 행복한 가족 구성원은 아빠 엄마 딸 세명이 아니라 아빠 엄마 딸 아들 네명이라는 이미지를 만들어 가야 할 것 같습니다. 가장 먼저 해야 할 일들은 전 국민이 보는 모든 공공 포스터, 광고, TV방송 등에 행복한 가정을 홍보하는 곳이라면 3명의 가족 구성원이 아니라, 건강한 할아버지 할머니 아빠 엄마 손자 손녀 등으로 구성할 수도 있겠지만, 행복한 가정의 기본 구성원은 최소한 4명 이상이다라는 인식을 심어 주는 겁니다. 지금 현재 보고 있는 대부분의 광고에는 아빠 엄마 딸이 기본인 것 같습니다. 가능하다면 법적으로 규제를 하더라도 3명은 가족 구성원이 충족되지 않은 미완성 가족의 이미지가 들도록 만드는 겁니다. 아~ 3명은 부족하구나… 자녀 혼자는 외롭게 자라는구나, 외로운 사람이 일찍 사망한다더라 등등등 3명의 단점과 4명 이상의 장점을 찾아 지속적으로 알리는 겁니다. 시간이 걸리겠지만 점점 인식 전환이 이루어 지도록 해야 할 것 같습니다. 정부 지원금을 주기 때문에 출산율이 올라간다??? 저는 정부 지원금으로 하는 정책은 불만족 요인으로써, 정부 지원금 기준이 되기 시작하면 정부 지원금을 지속적으로 올려도 출산율은 제자리 걸음을 할 것 입니다. 정부 지원금 때문에 출산을 하겠다는 것이 아니라 행복한 가족 구성원을 만들기 위해서 자녀들이 필요하다는 인식 전환이 더욱 큰 효과를 거둘 수 있을 것 같습니다. 그것이 바로 만족요인이 될 것 같습니다. 출산이 대한민국 내나라를 위한 애국이고 사랑하는 것이라는 것을 심어 줄 필요가 있을 것 같습니다. 2002년에 보여줬던 뜨거운 나의 사랑 대한민국을 심어 주는 것이 만족 요인을 만들어 주는 작업이 필요할 것 같습니다.</t>
  </si>
  <si>
    <t>2. TV방송에 반려동물을 잘 키우는 방법에 대한 정보를 공유 해 주는 것도 좋지만, 자녀들을 잘 키우는 방법에 대해 더 관심을 키우는 것이 더욱 중요하지 않을까요? 시청률 올리기에 급급한 최근 방송 트렌드를 보면 반려동물을 얼마나 많이 카메라에 잡히는지 그리고 그 부분에 설명을 많이 하는지, 인기 연예인이 생활하고 있는 모습을 바라보는 젊은 이들이 느끼기에는 반려동물 잘 키우면 애기 있는 것 보다 더 행복할 수 있겠구나라고 느끼지 않을까요? 벨런스를 맞추면 좋겠습니다. 정말 딱딱하게 보일지 모르지만 가족이 행복해지는 방법에 대해 드라마, 다큐멘터리, 인간극장, 개그프로, 대담프로 등 구성하기에 따라 정말 유익하고 재미있게 방송 프로그램을 만들 수 있지 않을까요? 예전에 우리 아이가 달라졌어요라는 프로그램을 잘 보았습니다. 비슷한 프로그램을 응용해서 보여 주면 좋을 것 같습니다. 아니면 자녀들이 정말 효도하는 사례? 아니면 성장하면서 보여 주는 행복 메이커 사례 등 찾으면 얼마든지 찾을 수 있을 듯 합니다. 또는 자녀 자랑대회(팔불출 되기) 등등등 으로 자녀가 있어 행복합니다의 느낌이 들 수 있는 다양한 아이디어를 모아 보는 겁니다. 애완견에서 반려견으로 이미지가 바뀐 것도 인생에 있어 가족을 대체할 수 있는 이미지가 들어 있는듯한 느낌이 듭니다. 또한 동물들과의 원활한 소통을 위해 전문가 분이 나와서 동물 심리 상태와 이상 행동을 고쳐 주는 부분이 많이 등장하는데, 공영방송이 아니 케이블체널로 옮겨갔으면 좋겠습니다. 대신 젊은 부부들이 자녀 양육이 서툴러하는 부분에 대해 자녀들과 올바른 소통을 하는 방법, 꿈을 키우고 올바르고 건강하게 성장하는 방법 등을 가르쳐 주는 프로그램을 더 많이 만드는겁니다. 이처럼 사회적 분위기를 조금씩 만들어가는 노력들이 아주 시급하게 진행해야 하는 분위기 전환 작업이 아닐까요?
3. 직접적인것은 아니지만 사교육을 점진적으로 없애는 것도 저출산을 극복하는데 영향을 줄 수 있을 것 같습니다. 애기 키우기 힘들다는 말이 어디서 나왔을까요? 초중 교육이 의무교육임에도 불구하고, 과외/학원비로 각 가정에서 쏟아 붓는 돈들이 얼마나 부담이 되는지 아십니까? 물론 경쟁 사회가 부른 필수적인 결과일지 모르지만, 사교육으로 인해 각 가정에서는 아기 한명에 들어가는 돈을 먼저 계산하니 애기를 더이상 낳지 못하는 겁니다. 또한 공교육은 완전 망가져 있는 상태입니다. 현재 중고등학교 수업 분위기를 한번 들여다 봐 주세요. 이미 선행학습이 이루어진 학생들은 수업 듣지 않고 잡니다. 선생님들도 인정하는 분위기가 많습니다. 너무나도 안타까운 일이죠. 이 또한 자세히 들여다 보시면 엄청난 일들이 벌어지고 있을 겁니다. 사교육이라는 것은 엄격하게 이야기 하면 반칙입니다. 돈 있는 학생들은 선행학습을 통해 돈없는 학생들을 이기는 거죠. 학생들이 어려서 부터 이런 경험을 하면서 성장하는데 성인이되어 결혼하게 되면 애기 낳고 싶겠습니까?
4. 출산 장려금 대신 자녀 양육을 위한 인프라 조성에 힘쓰자.
애기를 낳으면 첫번째 큰돈 들어가는 것이 산후조리원입니다. 여성들도 자기 건강을 위해 자녀를 낳지 않겠다고들합니다. 그렇다면 건강하게 산후조리를 할 수 있는 인프라를 지역별로 만들면 어떨까요? 아니면 산후조리 전문 인력(고령자 어머님 유휴 인력 활용 등)을 육성하거나 개인 가정(홀로지내는 어머니 집)에서 산후 조리를 전문적으로 할 수 있도록 하는 방안은 어떨까요?
제가 제안하는 부분들이 모든 것을 해결해 줄 수는 없을 수도 있습니다. 실행함에 문제도 있을겁니다. 하지만 걸림돌은 아이디어를 보강하여 문제해결을 하다보면 궁극적으로 가고자 하는 방향은 찾을 수 있지 않을까요? 그러다 보면 사회적 분위기를 만들어가는 기초는 되지 않을까요?</t>
  </si>
  <si>
    <t>5. 출산장려금은 셋째부터 지급하자
출산장려금을 받기 위해 첫째를 낳아야겠다는 생각을 하고 있는 부모들은 없다고 생각합니다. 물론 축하의 개념에 줄 수 있다고 생각이 들지만 그 비용을 모아모아 셋째를 가진 부모들에게 큰 혜택을 주는 방안을 검토해 보는 것이 어떨까요? 지금 우리의 목표는 출산율 2~3명을 목표로 해야 하기 때문에 조금 더 멀리 봐야합니다.
[기대효과]
행복한 삶을 위해 행복한 가족 구성은 필수라는 인식이 전국민의 의식에 심어질 때 출산율을 걱정하지 않는 대한민국이 되지 않을까요? 제가 제안하는 내용은 눈에 보이지도 않을 수 있습니다. 하지만 인간의 욕구 부분을 이해하지 못하는 정책으로는 효과를 거둘 수가 없다는 것은 이미 증명이 되었으니 더 이상 예산 낭비 시간 낭비 하지 마시고 조금 더 아이디어를 모으고 가다듬고 해서 전국민이 공감할 수 있는 정책 마련에 조그마한 진동이 되었으면 좋겠습니다. 대한민국이 강대국을 유지할 수 있는 건 우리나라 인구가 증가해야 하고, 경쟁력 있는 인적자원을 많이 육성해야 한다고 생각됩니다.</t>
  </si>
  <si>
    <t>1. 안녕하십니까? 보건복지부 인구정책총괄과입니다. 귀하께서 국민신문고를 통해 건의해주신 내용에 대한 검토 결과를 다음과 같이 알려드립니다.
2. 먼저 인구정책에 관심을 가지고 의견 주신 점에 대해 깊은 감사 말씀드립니다. 귀하께서는 저출산 문제를 해결하기 위하여 행복한 가족의 모습을 보일 수 있는 프로그램, 자녀와 올바른 소통·양육 방법 등을 가르쳐 주는 프로그램 제작을 비롯해 사회적 분위기를 만들어가는 노력의 필요성에 대해 건의하신 것으로 이해됩니다. 
3. 정부에서는‘국가는 아이를 키우는 가정을 정책으로 지원하고, 지역사회와 기업이 아이를 함께 키우고, 가정에서는 부부가 함께하는 함께육아를 실천해야 한다’는 메시지를 전달하고 출산·보육에 친화적인 조직문화 조성을 위하여 함께육아 캠페인을 추진한 바 있습니다. 또한 국민인식개선과 사회적 분위기 조성을 위하여 홍보 활동을 추진 중에 있습니다. 그 간 결혼·출산·양육에 대한 인식 변화와 사회적 분위기 조성을 위한 온라인 광고, TV, 옥외 광고 등을 진행한 바 있으며, 올해도 인식 변화를 위한 홍보를 계획 및 추진 중에 있습니다. 앞으로 제안하신 내용을 반영하여 체감도 높은 정책 홍보에 매진하겠습니다.
4. 정부는 보다 나은 정책을 만들기 위해 국민들과 지속적으로 소통하며 고민하겠습니다. 인구 정책에 관한 소중한 의견 주셔서 감사드리며, 기타 문의사항이 있으신 경우 보건복지부 인구정책총괄과(044-202-3373) 또는 보건복지부 콜센터(국번없이 129)로 연락주시면 안내드리겠습니다. 감사합니다.  끝.</t>
  </si>
  <si>
    <t>출산 정책에 불임에 대한 정책을 배려했으면 합니다.</t>
  </si>
  <si>
    <t>결혼이 늦은 관계로 불임이 되어 많은 고통을 당하는 산모가 무척 많습니다.
모든 정책이 애기를 낳고나서 이후에 정부 정책이 초점이 맞춰져 있읍니다.
아기를 낳고 싶어도 못 났는 경우 치료방법이나 시험관아기 등은 지원하지 않고 있고 홍보도 않되어
산모 혼자서 애를 먹는 경우가 많습니다. 이병원 저병원 다녀도 않되고 하는 경우에 어디로 가는지 안내도 해주었으면 합니다.
그리고 요양원도 정부 지원을 하는데 산후 조리원 등은 정부 지원이 없고 시험관 애기할려고 해도 비용도 무척 많은데
정부 지원도 필요합니다. 정부 출산 정책이 보나 세밀하게 지원 되었으면 합니다.</t>
  </si>
  <si>
    <t>산부인과 유명한 병원 홍보, 시험관아기 비용 정부 지원, 산후 조리원 정부 지원 등</t>
  </si>
  <si>
    <t>출산 정책에 보탬이 됩니다.</t>
  </si>
  <si>
    <t>1. 안녕하십니까? 귀하께서 국민신문고를 통해 신청하신 제안(1AB-2306-0019929)에 대하여 회신 드립니다.
2. 귀하의 제안내용은 "시험관 수술비용 및 산후조리원 비용 지원 요청“에 관한 것으로 이해되며 아래와 같이 답변을 드립니다.  
 ○ 정부는 난임부부의 경제적 부담을 경감하고자 2017년 10월 난임시술(자궁내 정자주입, 체외수정)에 대한 국민건강보험 급여를 실시하여 소득수준에 관계없이 시술 비용을 지원하고 있으며, 지방자치단체를 통해 저소득층 및 일부 중산층에 대해 건강보험 본인부담금을 보충적으로 지원하기 위한 '난임부부 시술비 지원사업'을 시행하고 있습니다.
  - 난임시술 급여 보장 횟수 확대 및 연령 제한 폐지, 사실혼 부부 지원, 만 45세 미만 여성 본인부담률을 일괄 30%로 인하하는 등 난임부부 지원 정책을 지속적으로 확대하고 있습니다.
 ○ 해당 사업의 지원 확대는 의학적 타당성, 소요 예산 및 재정 여건 등 종합적인 고려가 필요한 사안으로, 우리부는 난임부부의 건강과 안전을 고려한 지원이 이루어질 수 있도록 지자체와 협력하여 다각적인 방안을 적극 검토해 나갈 것을 말씀드립니다.
 ○ 또한 정부는 '함께 일하고 함께 돌보는 사회 구축'을 위해 「제4차 저출산고령사회 기본계획」을 수립·발표('20.12월)하였으며, 향후 5년간 추진할 중장기 계획의 핵심사업으로 출생·육아에 따른 경제적 부담 경감을 위해 첫만남이용권(바우처 200만원 지원) 사업을 시행하고 있으며, 이를 통해 산후조리 비용 등 출산·육아에 따른 경제적 부담을 경감할 수 있을 것으로 판단됩니다.
3. 답변 내용에 대한 추가 문의사항이 있으신 경우 보건복지부 보건복지콜센터(국번없이 ☎ 129) 또는 출산정책과(☎ 044-202-3398)로 연락주시면 성실히 답변 드리겠습니다. 감사합니다.  끝.</t>
  </si>
  <si>
    <t>저출산대책기금 신설 및 모금 캠폐인</t>
  </si>
  <si>
    <t>최근 언론과 뉴스에서 출생신고를 하지 않는 영아문제, 그리고 저출산문제 등이 사회문제로 이슈화 되고 있다.
정부에서는 수년간 저출산문제를 위하여 많은 예산을 투입하였스나, 출산율은 요지부동으로 높아지기는 커녕 , OECD 국가 중 최하위를 기록하고 있다. 이러한 문제는 잠시 사회 이슈화될때만 잠시잠간 정부와 국민이 대책마련을 해야한다고 한목소리로 외치지만, 다른 민생문제, 일본의 독도 영유권 문제, 원자력 처리수 문제 등으로 또 잊혀진다.
저출산 문제와 출산모의 영아 출생신고를 하지않는 문제는 모두 개인 사생활문제나  사회적인 문제도 일부 있겠지만, 대부분 경제적인 문제가 제일크다. 따라서, 이 경제적인 문제 해결을 위해서는 정부의 예산만으로는 부족함으로, 안정적이며 지속가능한 대책과 지원을 위한 기금을 마련하기 위하여, " 저출산대책기금 신설 및 모금 캠폐인 "과 같은 범국민적 사회 캠폐인이 시행되였어야 함에도, 아직 한번 도  우리나라에서는 이와 같은 기금마련이나 법국민적 캠폐인이 실시되지않코 있다.</t>
  </si>
  <si>
    <t>경제적인 이유로 , 출산을 미루거나, 출산을 하더라도 마음놓코 아이들을 양육할 수 없는 출산모,가족의 지속적이고도 안정적인 지원을 위하여 , 저출산대책기금 신설 및 모금 캠폐인을 벌인다.</t>
  </si>
  <si>
    <t>경제적인 이유로 , 출산을 미루거나, 출산을 하더라도 마음놓코 아이들을 양육할 수 없는 출산모,가족의 지속적이고도 안정적인 지원을 위하여  , 저출산대책기금 신설 및 모금 캠폐인을 벌임으로써, 출산율을 높인다.</t>
  </si>
  <si>
    <t>1. 안녕하십니까? 귀하께서 국민제안으로 제안주신 사항에 대해 검토한 결과를 답변드리겠습니다.
2. 제안사항은 저출산대책 지원을 위해 별도 재원 마련, 모금 캠페인'에 대한 사항으로 이해됩니다.
   ○ 우리나라의 저출산 현상은 노동시장 격차와 불안정 고용 증가, 교육에서의 경쟁 심화, 결혼·출산의 실현을 가로막는 높은 주택 가격, 성차별적 노동시장, 일·가정 양립의 곤란, 잔존하는 돌봄 공백과 같은 사회경제적 요인, 전통적·경직적인 가족 규범 및 제도의 지속, 청년층의 인식과 태도 변화와 같은 문화·가치관 측면의 요인, 주출산 연령대 여성인구의 감소, 혼인율의 지속적 하락과 초혼연령의 상승, 기혼가구의 평균 출생아수 감소 등 인구학적 원인에 따른 총제적인 결과로 분석됩니다.
      - 따라서, 출산 지원 외에 안정적인 주거환경, 보육시설 확충, 육아휴직 등 일가정 양립제도의 운영 등 소관부처별로 다양한 분야의 정책이 함께 추진되어야 한다는 점을 감안할 필요가 있습니다.
   ○ 귀하께저 제안하신 별도의 재원마련 등을 위한 사항은 필요한 재원규모에 대한 보다 면밀한 계산과 개인당 요구되는 지원금의 규모에 대한 추계가 필요하며, 또한 이와 같은 대규모 재원 마련에 대해서는 사회적 합의 및 관계부처 협의 등 신중한 검토가 필요한 바, 당장 추진이 어려운 사항임을 알려드립니다.
3. 다만, 임신, 출산, 양육 등 경제적 부담완화를 위한 안정적인 지원에 대한 필요성에 공감하며, 이를 위해 정부는 아래와 같은 정책을 추진하고 있음을 알려드립니다.
  ○ 정부는 양육비용 부담완화를 위하여 임산부 대상 임신·출산진료비 지원(국민행복카드 100만 원), 고위험 임산부 및 미숙아·선천성 이상아 등에 대한 진료비 지원 등을 통해 의료비 부담을 줄이고, 첫만남이용권(출생아 200만 원 바우처), 부모급여(('23) 만 0세 70만 원, 만 1세 35만 원→ ('24) 만 0세 100만 원,  만 1세 50만 원)) 및 아동수당(만 7세까지 월 10만 원) 지원하는 등 양육
부담을 줄이기 위한 지원을 하고 있으며,  지자체별 출산지원금은 지자체 재정 상황에  따라 개별 조례에 근거하여 추가로 지급되고 있음을 말씀드립니다. 
4. 귀하의 가정에 평안과 행복이 깃드시길 바라며, 기타 문의사항이 있으신 경우 보건복지부 인구정책총괄과(044-202-3367) 또는 보건복지콜센터(국번없이129)로 연락주시면 안내드리겠습니다. 감사합니다.  끝.</t>
  </si>
  <si>
    <t>비혼모 정자기증 출산문제</t>
  </si>
  <si>
    <t>최근 저출산고령화 문제가 심각한것으로 알고있습니다.</t>
  </si>
  <si>
    <t>외국처럼 무명의 정자기증을 통한 비혼모 출산이 저출산의 대책으로 타당한것으로 생각됩니다. 하지만 우리나라는 불법도 아닌 시술이 대한산부인과학회의 윤리규정에 의해 안되고있는것으로 알고 있습니다. 현대사회에서는 전혀문제가 없고 외국에서는 현재 시행되고있는 시술인데 우리나라에서는 구시대 사상으로 만들어진 윤리규정때문에 아직까지도 못하고있는데 또 이것을 나라에서는 방관하고 있는것은 불합리합니다. 따라서 이 윤리규정을 철폐하고 시술을 허가해주었으면 합니다.</t>
  </si>
  <si>
    <t>저출산 문제 해결에 기여</t>
  </si>
  <si>
    <t>1. 안녕하십니까? 귀하께서 국민신문고를 통해 신청하신 민원(신청번호 1AA-2307-1097061)에 대한 검토 결과를 다음과 같이 알려드립니다.
2. 귀하의 건의사항에 대해 검토한 의견은 다음과 같습니다.
 ○ 「생명윤리 및 안전에 관한 법률」(이하 "생명윤리법") 제23조에 따르면 금전, 재산상의 이익 또는 그 밖의 반대급부를 조건으로 배아나 난자 또는 정자를 제공 또는 이용하거나 이를 유인하거나 알선하는 행위는 금지되어 있습니다.
 ○ 또한 생명윤리법 제24조제1항에 따르면 배아생성의료기관에서 배아를 생성하기 위하여 난자 또는 정자를 채취할 때에는 동의권자(난자 기증자, 정자 기증자, 체외수정시술대상자 및 해당 기증자·시술대상자가 배우자가 있는 경우 배우자)의 서면동의를 받도록 규정하고 있습니다. 아울러 동법 시행규칙 제20조제2항에 따라 난자 또는 정자를 기증받아 배아를 생성하는 경우 생식세포 기증 동의서 등을 추가로 받아 배아를 생성할 수 있습니다.
 ○ 배아생성의료기관은 배아 생성 시 그 목적 등에 대해 동의권자에게 충분히 설명한 후 서면동의를 받아야 하며, 체외수정 시술대상자의 배우자가 있는 경우에는 배우자의 서면동의를 받아야 합니다. 만약 배우자가 없는 경우에는 배아생성 등에 관한 동의서 작성 시 배우자란에 '해당없음'으로 표기하도록 규정하고 있습니다.
 ○ 따라서 생명윤리법 제23조에 저촉되지 않고 제24조에 따른 적법한 동의를 받았다면 임신 목적으로 정자를 기증받아 배아 생성을 통한 임신이 가능하며, 혼인 여부에 따라 체외수정시술을 별도로 금지하고 있지 않습니다.
3. 기타 보다 자세한 내용이 알고 싶으시다면 보건복지콜센터(129번) 혹은 보건복지부 생명윤리정책과(담당자 044-202-2614)로 문의하시기 바랍니다. 늘 건강하시고 평안하시길 바랍니다. 감사합니다.  끝.</t>
  </si>
  <si>
    <t>복지출산급여제도 신설</t>
  </si>
  <si>
    <t>현황
1.첫 만남이용권
정부는 아이가 태어나면 200만원 바우처를 지급 
2.건강보험료 진료비 100만원 지급
3. 부모급여 연간 840만원 지급
4.아동수당 연간 120만원
5.임산부 교통비 지원 70 만원
6. 임산부 친환경 농산물 꾸러미 연48만원</t>
  </si>
  <si>
    <t>복지출산급여제도
현재 지원하는 모든 제도 한개로 통합 
출산0-17세 지원
출산 제도에 있어서 출산부터 0세 ~7세 까지 병원비 전액 무료 (질병등으로 인하여 내방한 경우 )
08세 ~ 17세까지 병원비 50%으로 전액
출산부터0세부터 ~ 17세까지 월100만원 (변경가능)만원씩 지급 금액을 지급
복지 출산금 제원 마련은 전국민 복지출산급여 만든다
  우리나라 모든 공산품에 복지 출산금 과세 만들어 제원마련함
  법인사업체 ,소상공인도 포함 
  회사원 출산복지출산급여제도 1000원식 인상없음 고정
  국회의원 월급에 복지 출산 장려급 30만원씩 삭감 
  현재 우리나라 저출산 관련 비용은 40조정도 됨</t>
  </si>
  <si>
    <t>매년 출산 장려금 지원사업에 알수없는지원금들이 불투명하게 지원됨
불피요한 지원금을 한개로 모하 투명성 있게 지원하므로써 출산효과 기대됨
가능한지 의견제시 합니다</t>
  </si>
  <si>
    <t>1. 안녕하십니까? 귀하께서 국민신문고를 통해 제안을 주신 사항에 대해 검토한 결과를 보건복지부 인구정책총괄과에서 총괄적으로 답변드리겠습니다.
2. 우선 복지 정책과 관련하여 관심을 갖고 소중한 제안을 해주심에 다시 한번 감사드립니다. 귀하께서 유선상 말씀주신 사항(9/25)에 의하면 제안주신 사항은 출산지원 정책 관련하여, 부처별로 다양한 서비스에 대해 통합적으로 볼 수 있는 서비스 제공에 대한 사항으로 이해되며, 귀하께서 찾으시는 서비스 관련하여 아래 사항을 참고해 주시기를 바랍니다. 
   ○ 찾기 쉬운 생활법령정보(easylaw.go.kr) &gt; "복지" : 국민이 실생활에서 필요한 법령 등을 쉽게 찾고 이해할 수 있도록 정부 각 기관간 복잡하게 얽혀있는 법령관계를 국민 생활중심으로 재분류, 및 서비스 제공을 하는 곳으로, 각 부처별 소관 법률에 근거한 사업들을 한번에 확인하실 수 있습니다. (다자녀가구 지원, 신혼부부, 임산부 등의 의료비지원, 주거지원, 아이돌봄서비스 등)
  ○ 공공누리(http://kogl.or.kr) &gt; "지방자치단체 출산지원정책 사례집" 검색 : 중앙정부 및 지방자치단체 출산지원정책 지원 현황을 한번에 확인하실 있습니다. 
   ○ 공공데이터포털(http://data.go.kr) &gt; 원하는 분야 검색 : 공공기관이 생성 또는 취득하여 관리하고 있는 공공데이터를 한 곳에서 제공하는 통합 창구로 쉽고 편리하게 검색을 통해 원하시는 데이터를 찾으실 수 있습니다. 
 3. 저출산 고령화 정책과 관련하여 관심을 갖고 소중한 제안을 해주심에 다시한번 감사드리며, 정부는 국민의 체감도 높은 정책을 지속 발굴하고 더불어 향후 정책을 수정, 보완하는 과정에서 귀하의 제안취지를 고려하여 더나은 정책개선이 이루어질 수 있도록 노력하겠습니다. 
  4. 귀하의 가정에 평안이 깃드시길 바라며 문의사항이 있으신 경우, 인구정책총괄과(044-202-3367) 또는 보건복지콜센터(국번없이129)로 문의주시기 바랍니다.</t>
  </si>
  <si>
    <t>저출산 고령화 문제를 해결하기 위해 출산 장려정책을 개편하여주세요.</t>
  </si>
  <si>
    <t>현재 저출산 고령화 사회로 접어들고 있습니다. 이 저출산 고령화 사회가 심화됨에 따라 취업문제, 생활문제등 우리의 일상들에서 많은 문제점이 발생하고있습니다. 저출산이 심화된 이유로는 높게 치솟은 물가로 인해 혼자도 먹고 살기에 어려움이 생기는 사람이 많은 요즘입니다. 때문에 아이까지 낳아 키울 경제력이 부족하여 키우지 않는 이유가 큰 부분을 차지하고있습니다.</t>
  </si>
  <si>
    <t>이를 해결하기 위해 출산을 장려하는 정책을 개편하여 주십시오. 출산을 하면 경제적으로 많은 지원을 주어 저출산 문제를 해결하여 현재 사회적 어려운 문제를 해결할 수 있습니다.</t>
  </si>
  <si>
    <t>저출산 문제가 해결됩니다.</t>
  </si>
  <si>
    <t>1. 안녕하십니까? 답변이 많이 늦어진 점 양해부탁드리며, 귀하께서 국민신문고를 통해 제안주신 사항에 대해 검토한 결과를 보건복지부 인구정책총괄과에서 총괄적으로 답변드리겠습니다.
2. 귀하께서 제안주신 사항은 '저출산 완화를 위한 출산지원 확대'와 관련된 사항으로 이해됩니다.
ㅇ 정부는 지난 3.28일 대통령 주재 2023년 제1차 저출산고령사회위원회에서 "결혼
·출산·양육이 행복한 선택이 될 수 있는 사회환경 조성"을 목표로 저출산 정책과제를 선택과 집중하기 위한 추진전략을 발표(「윤석열 정부의 저출산 정책과제 및 추진방향」) 한 바 있습니다.
   - 동 발표는 저출산 주요 요인, 정책연관성 및 효과성, 체감도 등을 고려하여 5대 핵심분야(돌봄·교육, 일·육아병행, 주거, 양육비용 지원, 건강) 주요과제를 우선 추진하기 위한 대책 방향을 담고 있으며 동 방향에 따라 후속 세부추진계획을 순차적으로 발표하고 있음을 말씀드립니다.
ㅇ  정부는 상기 추진방향에 따라 중장기적으로 효과성, 국민 체감도가 높은 사업을 중심으로 정책을 추진해 나갈 것입니다. 
3. 저출산 고령화 정책과 관련하여 관심을 갖고 소중한 제안을 해주심에 감사드립니다.
4. 귀하의 가정에 평안과 행복이 깃드시길 바라며, 기타 문의사항이 있으신 경우,  보건복지부 인구정책총괄과(044-202-3367) 또는  보건복지콜센터(국번없이 129)로 문의주시기 바랍니다. 감사합니다.  끝.</t>
  </si>
  <si>
    <t>출산 증가 방안</t>
  </si>
  <si>
    <t>출산을 높이기 위해 일부 지자체에서 산모에게 1천만원도 넘는 지원금을 주는 것으로 알고 있습니다.
그런데 아기를 가지고 싶어도 시험관아기 갖는데 큰 비용이 부담되어 갖지 못하는 경우를 아시는지요?
애기 낳았다고 주는 것도 좋지만 아기를 가지기 위해 노력하는 부부의 시술비를 지원해주는 것도 좋지 않나요?
제 딸은 아기를 갖기 원해도 나이가 많아 자연 임신이 안됩니다.
시험관 아기를 가지고 싶어도 비용이 많이 들어 하지를 못합니다.
인공수정을 국가에서 해줄수 있나요?
법적으로 안되어 있으면 입법을 해주십시오
후원기업을 찾아서 인공수정이 가능하도록 도움을 부탁드립니다</t>
  </si>
  <si>
    <t>입법이나 후원기업을 연결해 주십시오</t>
  </si>
  <si>
    <t>출산률 증가</t>
  </si>
  <si>
    <t>1. 안녕하십니까? 귀하께서 국민신문고를 통해 신청하신 제안에 대하여 검토 후 다음과 같이 안내드립니다.
2. 귀하의 제안 요지는 '난임시술비 지원'에 관한 것으로 이해됩니다.
3. 정부는 난임부부의 경제적 부담을 경감하고자 2006년부터 체외수정 시술비 지원을 시작으로 2017년 10월 난임시술(자궁내 정자주입, 체외수정)에 대한 국민건강보험 급여 실시와 저소득층 등에 대한 건강보험 본인부담금을 보충적으로 지원하는 '난임부부 시술비 지원사업'을 통해 시술 비용을 지원하고 있습니다.
  - 난임시술 급여 보장 횟수 확대 및 연령 제한 폐지, 사실혼 부부 지원, 만 45세 미만 여성 본인부담률을 일괄 30%로 인하, 시술비 지원사업 소득기준 완화 등 난임부부 지원 정책을 지속적으로 확대하고 있으며,
  - 시술비 지원사업은 정부의 재정분권 추진에 따른 지방이양 결정으로 2022년 1월부터 지방자치단체가 선정 기준, 지원 범위 등을 자율적으로 결정하여 추진 중입니다.
4. 동 지원사업은 「모자보건법」 제11조(난임극복 지원사업)에 근거하여 추진 중이며, 인공수정[자궁내 정자주입] 및 체외수정 시술을 지원하고 있습니다. 자세한 지원내용과 신청은 자녀의 주소지 관할 보건소에 문의하여 주시기 바랍니다.
5. 답변 내용에 대한 추가 설명이 필요한 경우 보건복지부 출산정책과(044-202-3396)로 문의하시면 친절히 안내드리도록 하겠습니다.  끝.</t>
  </si>
  <si>
    <t>대한민국 출산율을 높일 수 있는 방법은 제안합니다.</t>
  </si>
  <si>
    <t>안녕하세요. 저희는 의령군에 있는 정곡초등학교 5학년 학생이며, 담임선생님 아이디로 정책을 제안해요.
이번에 공부하면서 알게 된 부분이 2022년도 대한민국 출산율이 0.78이라고 합니다. 이는 전세계에서 가장 낮은 수치입니다.
통계청 자료를 조사해보니 1970년에는 4.53. 2000년에는 1.48. 2010년에는 1.23. 2020년에는 0.84로 점점 낮아지고 있습니다.
이렇게 되면 2050년에는 어린이 인구는 417만명이지만, 노인 인구는 1900만명이 되는 것으로 통계에 나옵니다. 
그러면 생산가능인구가 줄어들어서 우리나라가 발전하기도 어렵고, 일할 사람이 많이 부족해지지 않나요?
초등학생인 우리들에게는 큰 문제입니다. 그래서 정책을 제안합니다.</t>
  </si>
  <si>
    <t>1. 출산을 했을 경우에 부모님 모두를 3개월 정도 휴직하게 해주세요. 
: 아이슬란드의 경우 3개월 무조건 휴직을 해야한다고 합니다. 우리나라도 출산을 하면 부모 모두가 3개월은 무조건 휴직을 하여
제일 힘든 시기에 같이 육아를 할 수 있게 해주세요. 물론 이 때 월급은 그대로 주구요. 아기가 3개월 동안은 2-3시간동안 계속 잠에서 깨고 해서 가장 힘들잖아요? 이 때 2명이서 같이 하면 더 좋을꺼 같아요. 
2. 출산 관련 비용 지원을 많이 해주세요.
: 프랑스는 출산 관련한 의료비가 전부 무료라고 합니다. 우리나라도 출산과 관련한 모든 의료 비용은 나라에서 지원을 해주면 좋겠어요. 
그리고 2024년부터는 아기 출생 후 1년 동안 100만원씩 지원해준다고 하는데, 이 금액도 올려서 지원을 많이 해줬으며 합니다.
3. 저출산 문제에 대해 홍보를 해주세요.
: 이번 조사를 하기 전까지는 우리나라 출산율이 심각한 부분을 사실 잘 알지 못했어요. 그리고 지금도 모르는 사람들도 많구요.
인구가 줄어들면 제일 관계가 깊은건 우리 초등학생들인데, 대부분의 친구들이 이 사실을 알지 못해요. 
유튜브, TV 공익광고, 자료 등 다양한 방법으로 우리나라 출산율이 심각하고, 이는 미래에 문제가 생길 수 있다는 부분을 적극적으로 홍보해주면 좋을꺼 같아요.</t>
  </si>
  <si>
    <t>여러 정책들을 정부에서 추진해줘서 우리나라 출산율이 높아졌으면 좋겠습니다.
출산율 꼴지.. 탈출해요!!</t>
  </si>
  <si>
    <t>1. 안녕하십니까? 귀하께서 국민신문고를 통해 신청하신 제안(1AB-2308-0003308)에 대한 검토 결과를 다음과 같이 알려드립니다.
2. 귀하께서 제출하신 제안의 내용은 "출산율 제고를 위해 출산 관련 의료비 지원 및 저출산 문제에 대한 홍보 강화"에 관한 것으로 이해됩니다.
3. 저출산 문제 해결를 위한 귀하의 제안 취지에 공감하며, 귀하의 제안에 대한 검토 결과는 다음과 같습니다.
  &lt;보험급여과, 출산정책과&gt;
 가. 건강보험의 임신·출산진료비는 의사의 의학적 판단에 따라 임산부의 주기적인 산전 진찰로 건강한 태아를 분만할 수 있도록, 임신·출산과 관련된 진료비의 본인부담금을 일태아 100만원, 다태아 140만원으로 지원하고 있으며, 분만취약지 거주 임산부의 경우 20만원 추가 지원하고 있습니다.
     - 올 연말에는 다태아 임산부에 대한 의료비 지원강화를 위해 지원금을 총 140만원에서 다둥이의 태아당 100만원(2태아 200만원, 3태아 300만원)으로 지원금을 확대 시행 할 예정입니다.(보험급여과)
     - 또한 ‘24년부터는 고위험임산부 및 미숙아·선천성이상아 의료비 지원대상 관련 소득기준 폐지 등 건강약자 대상 임신·출산 지원을 지속적으로 확대 예정입니다.(출산정책과)
  &lt;보육사업기획과&gt;
 나. 정부는 출산이나 양육으로 인해 손실되는 소득을 보전하고, 영아기 돌봄을 두텁게 지원하기 위하여 부모급여를 도입하였습니다. 
      * ('23) 만 0세 70만원, 만 1세 35만원('22년 출생아부터 적용)
     - 귀하께서 제안하신 부모급여 지원금액을 확대하는 것은 많은 추가 예산이 소요되는 사항으로 한정적인 국가의 재정여건을 고려하고, 사회적 합의를 거치는 등 신중히 검토해야 할 사항임을 양해해 주시기 바랍니다.
 &lt;인구정책총괄과&gt;
 다. 저출산 현상의 심각성과 인구 감소가 야기하는 문제들에 대해 다양한 홍보 매체를
활용하여 국민들에게 적극적으로 홍보해야한다는 귀하의 의견은 검토해볼 필요가 있는 내용이라고 판단됩니다. 
     - 정부에서는 저출산 문제와 인구 감소 등에 대한 문제를 알리고 출산과 양육에 대한 인식 변화와 가족 친화적인 사회 분위기 조성을 위하여 정책 홍보와 인식
개선을 목표로 하는 영상을 활용하여 온라인 광고, TV, 옥외 광고 등을 진행한 바 있으며, 올해도 방송 매체를 활용한 홍보를 계획 중에 있습니다. 앞으로 건의하신 내용을 반영하여 인구 감소 문제 해결을 위해 다양한 매체를 통한 홍보 도입 방안을 검토하도록 하겠습니다. 
4. 귀하의 제안에 만족스러운 답변이 되었기를 바라며, 답변 내용에 대한 추가 설명이 필요한 경우 보건보지부콜센터(국번없이 ☏129) 또는 출산정책과(☏044-202-3402), 보헙급여과(044-202-2735), 보육사업기획과(044-202-3572), 인구정책총괄과(044-202-3373)로 연락주시면 친절히 안내해 드리도록 하겠습니다. 감사합니다.  끝.</t>
  </si>
  <si>
    <t>정부 저출산 해결법은 넓게 봐야합니다. 양육은 20살까지인데 영유아기 지원이 다가 아닙니다.</t>
  </si>
  <si>
    <t>정부는 발등에 떨어진 저출산 문제를 해결하기 위해 영유아 가정에 1인당 큰금액을 지원하고 있는것으로 알고 있습니다.  그렇지만 양육은 단순히 초등전까지만이 해당사항도 아니고 실질적으로 이제야 초등돌봄교실확대등으로 원치도 않는 초등학교에만 부담을 가중하고 있고 있습니다.</t>
  </si>
  <si>
    <t>지역아동센터등을 넓혀 실질적인 도움을 주거나 학부모가 오전타임만 일할수 있는곳을 확대하여 자녀들이 학교하교후 가정교육등을 할수 있도록 도움을 주었으면 좋겠습니다.
일과 가정을 양립하지 않고서는 아이들의 양육 가정이 바로 서기 힘듭니다.
부디 각가정이 부담스럽지 않게 가정을 이끌어 나갈수 있도록 실질적인 도움부탁드립니다.</t>
  </si>
  <si>
    <t>사회가 더불어 편안히 잘 유지될수 있다고 봅니다.</t>
  </si>
  <si>
    <t>1. 안녕하십니까, 귀하께서 국민제안을 통해 건의해주신 제안(1AB-2309-0001018)에 대해 아래와 같이 답변드립니다.
2. 우리부에서는 돌봄이 필요한 초등학생 이상 아동에게 양질의 돌봄서비스를 제공하고 맞벌이 가구의 육아부담 경감을 위해 다함께돌봄센터, 지역아동센터의 설치·운영 지원 사업을 추진하고 있으며, ‘23년 6월 말 기준 전국 5천여 개소에서 약 13만 명의 아동에게 돌봄서비스를 제공하고 있습니다.
3. 귀하께서 주신 맞벌이 가정의 돌봄 부담 완화를 위한 돌봄 인프라 확대 제안의 필요성에 공감하나, 이미 돌봄서비스 확대를 위한 다함께돌봄센터 및 지역아동센터 설치 운영 지원 등 정책을 실시하고 있어 부득이 귀하의 제안을 불채택 처리함을 양해하여 주시기 바랍니다.
4. 보다 많은 아동이 보다 나은 돌봄서비스를 제공받을 수 있도록 지속적으로 현장과 소통하며 노력하겠습니다. 답변내용에 추가 문의가 있으실 경우 보건복지콜센터(국번없이 129), 보건복지부 인구정책총괄과(044-202-3406)으로 문의주시면 안내드리겠습니다. 감사합니다.  끝.</t>
  </si>
  <si>
    <t>저출생 위기극복 정책 업무 담당관 자격조건 다자녀 부모 명시</t>
  </si>
  <si>
    <t>저출생 위기상황을 아직도 강건너 불보듯하는 정부 여당, 정치권에 제안합니다.
궁하면 통한다고 했던가요?
본인의 삶과 직결되지 않은 국가 중대사에 누가 소명의식, 책임감을 갖고 업무 추진할까요?
미혼, 비혼주의자, 자녀 양육에서 자유로운 기성세대 등.
국가 정책에 전혀 도움을 주지 못하고 있는 실정입니다.
저출생 위기상황으로 인해 교육, 연금, 노동, 삶의 질 등 제반 분야에서 공포스런 일들이 펼쳐질 것이라 우려하고 있습니다.
진정 위기로 인식하고 대책을 강구해야 합니다.</t>
  </si>
  <si>
    <t>저출생 위기 극복의 해법은 자칭 전문가라고 우겨대는 부류들의 잘못된 시각, 가치관, 철학으로 인해 배가 산으로 갈 뿐
적절한 대책이 강구되지 못하고 있는 실정입니다.
자칭 전문가들이라고 우겨대는 사람들의 속내는 자신들의 이익이 침해되는 것을 바라지 않아 형평성, 평등, 상대적 차별을 신중하게 고려해야한다며 지금 당장 화산이 폭발하기 일보 직전임에도 불구하고 그럴싸한 현학적 문구만 남발할 뿐 뚜렷한 대책을 제시하지 못하고 있는 실정입니다.
도대체 언제까지 이런 똑같은 실수를 계속할 것인지 의문입니다.
현재 자녀를 양육하는 가정 특히 다자녀 가정의 부모들이 느끼는 삶의 문제점을 적극 해소할 때 진정한 저출생 해법이 가능할 것입니다. 그래서 앞으로 저출생 위기극복 정책 업무를 계획하고 추진할 때는 업무 담당관의 자격조건으로 다자녀 가족의 부모를 명시합니다. 한 자녀, 두 자녀는 제반 정책에 대해서 그다지 문제의식을 느끼거나 그냥 시큰둥한 의견일 뿐이지만 막다른 벽에 처한 다자녀 가족의 생생한 삶의 체험은 국가 정책 수립에 매우 중요한 역할과 영향을 줄 것입니다.
앞으로 저출생 위기극복 정책 업무 계획과 추진은 반드시 다자녀 부모가 수행할 수 있도록 합니다.</t>
  </si>
  <si>
    <t>저출생 원인의 본질을 제대로 알아야 합니다.
그러기 위해서는 다자녀를 양육하는 부모의 현실적인 문제점과 발전방안을 제대로 알아야 합니다.
단순히 설문이나 여론수렴만으로는 한계가 있습니다.
실제 다자녀를 양육하며 겪은 생생한 체험과 노하우를 토대로 국가 정책을 추진했을 때 그야말로 최선의 방안이 나올 수 있을 것입니다.</t>
  </si>
  <si>
    <t>1. 안녕하십니까? 귀하께서 제안하신 '저출산 위기극복 업무 계획과 추진 담당관의 자격요건으로 다자녀 부모 명시'에 대한 검토 결과를 다음과 같이 알려드립니다. 
2. 귀하의 제안내용은 '다자녀 가정의 부모들이 느끼는 문제점을 해소해야 저출산 해소가 가능하므로, 다자녀 부모가 정책을 수행할 수 있도록 추진 요청’한 것으로 이해됩니다.
3. 귀하의 소중한 제안에 감사드리며, 제안 사항에 대해 검토의견은 다음과 같습니다. 
 - 정부는 능력과 적성에 적합한 직위에 담당 공무원을 임용하고 있으며, 이를 위해 해당 직위의 주요 업무활동, 직무수행의 난이도 등(직무요건)과 경력 및 전공분야, 보유 역량의 수준 등(인적요건)을 종합적으로 고려하고 있습니다. 
 - 제안하신 것과 같이 저출산 업무 담당관의 자격요건으로 다자녀 부모일 것을 명시할 경우 해당 업무에 대한 상기 직무요건과 인적요건을 모두 충족한 경우에도 미혼 공무원, 혼인하였으나 다자녀를 두지 않은 공무원은 동 업무를 담당할 수 없게 되어 헌법이 보장하고 있는 공무담임권을 침해하고 정부내 한정된 인적자원의 효율적 활용을 저해하는 등 보다 신중한 고려가 필요하다는 점을 말씀드립니다.  끝.</t>
  </si>
  <si>
    <t>출산율을 높이기 정책</t>
  </si>
  <si>
    <t>현행 첫째 둘째아이에 일정금액을 주는 걸로 알고있습니다</t>
  </si>
  <si>
    <t>첫째아이를 낳는 평균연령이 35세로 알고 있습니다. 첫째를 키우다 보면 38세정도에 둘째를 가지거나 아니면 하나만 키우자라고 생각이 됩니다. 평균연령 보다 적은나이에 첫째를 낳게 되면 둘째의 출산율이 높아집니다. 아이를 한명도 없는 집안은 뭘해도 높아지지 않을겁니다. 하지만 아이를 가져본 집은 둘째를 가질까말까 고민합니다. 평균보다 적은나이에 첫째를 가지게 되는 가구에 혜택을 차등적으로 주세요. 예를 들어 만32세에 출산시 +3@, 만 34세에 가지면 +2@ , 만 36세 이후 출산시 +@이런식으로 말이지요</t>
  </si>
  <si>
    <t>첫째 출산연령을 낮추면 둘째를 고민합니다. 한명도 가지지 않을 사람은 뒤도 안돌아보고 고민하지 않습니다.</t>
  </si>
  <si>
    <t>1. 안녕하십니까? 귀하께서 국민신문고를 통해 신청하신 제안(1AB-2309-0002734)에 대하여 회신 드립니다.
2. 귀하의 제안내용은 "초산하는 산모의 나이에 따라 첫만남이용권 차등 지원“에 관한 것으로 이해되며 아래와 같이 답변을 드립니다.  
 ○ 정부는 '함께 일하고 함께 돌보는 사회 구축'을 위해 「제4차 저출산고령사회 기본계획」을 수립·발표('20.12월)하였으며, 향후 5년간 추진할 중장기 계획의 핵심사업으로 출생·육아에 따른 경제적 부담 경감을 위해 첫만남이용권 사업을 시행하고 있습니다. 
 ○ 첫만남이용권은 보편적인 출산지원금으로 귀하께서 제안하신 것과 같이 산모의 연령에 따라 출산지원금을 차등지급하는 것은 보편적 출산지원금 정책 성격과 상이하며 산모 연령에 따른 지원금 차등으로 인해 역차별 발생 등의 사유로 불채택함을 알려드립니다.  
3. 답변 내용에 대한 추가 문의사항이 있으신 경우 보건복지부 보건복지콜센터(국번없이 ☎ 129) 또는 출산정책과(☎ 044-202-3398)로 연락주시면 성실히 답변드리겠습니다. 감사합니다.  끝.</t>
  </si>
  <si>
    <t>육아휴직 국민연금 납부 유예기간 확대의 件</t>
  </si>
  <si>
    <t>현재 육아휴직 사용시 국민연금보험료를 육아휴직의 휴직 시작 월과 종료월을 제외 하고 납부해야한다. 
-&gt; 육아휴직 발생하는 달과 복직일을 포함하는달 두달간만 국민연금 보험료를 납부하지 않고 모두 납부
현재 부모동시육아휴직(한부모가정포함)을 제외하고 육아휴직 지원금은 통상임금의 80% 상한금액 150만원이며
여기서 4대보험인 국민,건강,고용,산재보험 납부분을 제외하면 실지급액은 보통 110~120만원 가량이다. 
따라서 육아휴직 기간이 길어질수록 소득이 줄어든 상태에서 납부해야할 4대보험료는 일정하므로
이는 육아휴직 사용에 부담으로 작용하며 육아휴직자의 생계에도 영향을 미치게 된다.</t>
  </si>
  <si>
    <t>1. 육아휴직 1년이상 사용시 국민연금 납부 유예 기간
 (현재 육아휴직의 휴직 시작 월과 종료월만 제외 ) 
 -&gt; 육아휴직 휴직 시작월과 시작 바로 다음월 , 육아휴직 종료월과 종료 바로 전월로 변경한다 
 -&gt; 납부유예기간이 2달 -&gt;4달로 확대 
2. 단 육아휴직1년이상 사용시에만 적용한다. (현재 육아휴직 사용기간 최대 1년6개월)</t>
  </si>
  <si>
    <t>1. 육아휴직 사용자 가계부담 완화
2. 육아휴직 사용 증가
2. 출산률 증대에 긍정적인 효과창출</t>
  </si>
  <si>
    <t>1. 안녕하십니까, 귀하께서 국민신문고를 통해 신청해 주신 제안(1AA-2207-0150124)에 관련하여 안내드립니다. 
2. 귀하의 제안 내용은 ‘육아휴직에 대한 국민연금 납부 유예기간 확대’로 이해되며, 검토의견은 다음과 같습니다.
3. 국민연금법 제91조에 따라 납부예외 제도는 사업 중단, 실직 또는 휴직 등의 납부예외 사유에 해당하여 연금보험료를 납부할 수 없는 경우, 그 사실을 증명할 수 있는 서류를 제출하여 납부예외 사유가 계속되는 기간에 보험료를 납부하지 않을 수 있는 제도로,
 ○ 국민연금법 시행령 제61조제6항에 납부예외 기간은 납부예외 사유가 발생한 날이 속하는 달부터 납부예외 사유가 없어진 날이 속하는 달까지로 하고, 다만 납부예외사유가 없어진 날이 그 달의 초일인 경우이거나 가입자가 납부예외 사유가 없어진 날이 속하는 달의 연금보험료 납부를 원하는 경우에는 납부예외 기간을 납부예외 사유가 없어진 날이 속하는 달의 전달까지로 본다고 규정하고 있습니다. 
  - 다만, 휴직 중 소득이 발생하는 경우 납부예외 신청이 불가한 경우가 있으니 납부예외제도에 관한 자세한 사항은 국민연금공단 지사 또는 국민연금공단 콜센터(☎국번없이 1355)로 문의하여 주시기 바랍니다. 
4. 귀하의 국민연금제도에 대한 소중한 의견 감사드리며 추가 문의사항은 보건복지부 보건복지상담센터(☎국번없이 129) 또는 국민연금정책과(☎044-202-3608)로 연락주시기 바랍니다. 감사합니다.  끝.</t>
  </si>
  <si>
    <t>저출산  대책</t>
  </si>
  <si>
    <t>세째 아이 출산부터 육아에 대한 부담으로 보통가정에서는  들째까지만 낳코 더 이상 아이를 가지려  하지 않는다ㆍ따라서 출산은 가정에서 육아와 교육은 국가에서  확실히 책임진다는 정책시행을  함으로서  출산율을 높일 수 있다</t>
  </si>
  <si>
    <t>세째아이의 임신ㆍ출산가정에는 기존에 정부에서 지원하는 육아지원금 ㆍ출산 축하금ㆍ보육료를 대폭 상향하여 두배까지로 늘리고 육아지원긍과 보육료 듬을 고등학 교 졸업시 까지로  지급하도록  한다ㆍ새째 아이부터는 국립대하교  학비 면제도 시행한다 ㆍ</t>
  </si>
  <si>
    <t>출산의 여력이 충분이 있스나ㆍ 육아비용의 부담과 보육비ㆍ자녀학자금 등의 부담과 걱정으로 두자녀 가정은 세자녀  이상 출산을 꺼리고 있다ㆍ이러한 걱정과 우려를 불식시키고 , 마음펺이 세째,네째.다섯째 그리고 그 이상 아이를 가질 수  있 는 가정이 늘어나게 하는 길은 정부의 육아정책 지원을 획기적으로 증대하는 길 이외는 대안이 없다ㆍ정부의 확고한 육아지원 증대정책으로 우리나라는 저출산 국가에서 탈출 할 수 있다ㆍ</t>
  </si>
  <si>
    <t>1. 안녕하십니까? 답변이 많이 늦은 점 양해부탁드리며, 다부처지정건으로 귀하께서 국민신문고를 통해 제안주신 사항에 대해 검토한 결과를 보건복지부 인구정책총괄과에서 답변드리겠습니다.
2. 귀하의 제안 내용 중 '셋째아 이상부터 첫만남이용권 지원금 상향'에 대해 출산정책과에서 답변드리겠습니다.
 ㅇ 정부는 '함께 일하고 함께 돌보는 사회 구축'을 위해 「제4차 저출산고령사회 기본계획」을 수립·발표('20.12월)하였으며, 향후 5년간 추진할 중장기 계획의 핵심사업으로 출생·육아에 따른 경제적 부담 경감을 위해 첫만남이용권 사업을 시행하고 있으며, 다자녀가구의 출생, 양육비용 부담 경감을 위하여 '24년 부터 둘째아 이상 자녀에게 첫만남이용권 지원금액을 300만원 증액하는 내용을 발표하였습니다. 이를 통해 출산·육아에 따른 경제적 부담을 경감할 수 있을 것으로 판단됩니다.
 ㅇ 첫만남이용권 지원 금액 확대는 대규모 예산 확보사항으로 사회적인 합의와 중장기적인 검토가 필요함을 알려드립니다.
3. 귀하의 제안 내용 중 "셋째 아이부터 보육료 상향 및 고등학교까지 보육료 지급"에 관한 사항에 대해 보육정책과에서 답변드리겠습니다. 
 ㅇ 정부는 영유아보육법 제34조(무상보육)에 따라 어린이집 이용 영유아에 대한 보육을 무상으로 지원하고 있으며, 보육료는 소득수준에 관계없이 대한민국 국적을 가진 자로, 주민등록법에 의해 주민등록번호를 정상적으로 부여받은 만 0~5세 아동을 대상으로 지원하고 있음을 알려드립니다.
 ㅇ 또한 어린이집에서 영유아에게 보육서비스를 제공 시 지원되는 보육료는 정부지원보육료, 부모부담보육료로 구성되어 있습니다.
   - 정부지원보육료는 부모보육료와 기관보육료가 해당되며, 부모보육료는 어린이집에 다니는 만0∼5세 아동의 부모에게 바우처로 지원, 기관보육료는 정부 인건비 미지원 어린이집(민간, 가정 등)에 대해 만0∼2세, 장애아동 보육 시 지원하는 보조금으로 지원하고 있습니다.
 ㅇ 따라서 정부는 만0~5세 어린이집 이용 영유아 대상으로 보육료를 지원하고 있으며, 아동이 셋째인지 여부와 상관없이 정해진 보육료 지원 단가를 지원하고 있습니다.
  - 보육료 인상은 예산확보를 수반하므로 정부와 국회는 매년 단가 인상을 통해 양질의 서비스가 지원되도록 노력중이며, 보육료는 어린이집 이용 아동에 대한 지원이므로 고등학교까지 지원되는 사업이 아닌 점 안내드립니다.
4. 이외에도 다자녀가구에 아이돌봄서비스 우선지원, 주거비 부담 완화를 위해 구입 및 전세자금 대출 한도 상향 및 자녀수에 따른 우대금리 적용, 다자녀가구 공공요금 감면, 학자금 대출 우대, 자녀 수에 따른 국민연금 가입기간 추가 산정 등 지원 혜택이 있으며 자세한 사항은 관계부처 누리집을 참고하여 주시기 바랍니다.
5. 귀하의 가정에 평안과 행복이 깃드시길 바라며, 문의사항이 있으신 경우, '첫만남 이용권' 관련 출산정책과(044-202-3398), '보육료' 관련 보육사업기획과(044-202-3563), 이외 다자녀 가구 주거 지원,아이돌보미서비스, 학자금 대출 우대, 공공요금 감면 등과 관련된 사항은 해당부처(국토교통부, 여성가족부, 교육부, 산업통상자원부 등)으로 문의하시길 바랍니다. 감사합니다.  끝.</t>
  </si>
  <si>
    <t>출산정책</t>
  </si>
  <si>
    <t>우선 자녀 출산 청책 많이 나오는것 감사합니다
6살 아이를 키우고 있는 아빠 입니다
아이 키우려고 아내는 현재 현업 주부 입니다
다자녀 지원 정책 보다 우선 되어야 하는것
우선 뉴스에 많이 보도 되고있는 아이 병원 부족 병상부족
아이가 밤에 열도 나고 자주 아픔니다 그런데 갈수있는 병원은 찾기도 힘들어요
준 병원 보통 3시간 정도는 기다려야 진료
병실이 없어 통원 치료</t>
  </si>
  <si>
    <t>아내가 주부인데도 아이병원 데려 가는게 너무 힘들다고 하네요
1.  아이가 아플때  아무시간떄나 전화 할수 있는 소아과전담 의사
예를들면  아이 기도가 막혔을때 갑자기 열이 날떄 쉽게 상담할수 있는
2. 어느시간때나 진료를 볼수있는 병원
응급실 소아 전담의사 상주
열이 날때 소아과 의사가 없어 해열 주사 맞을수 없는 현실
 "부모들이 한 아이을 쉽게 키울수 있는 구조를 만들어 주세요"
그렇게 해야 둘째 셋째 생각도 ~~~
처음엔 저도 2명을 낳으려고 했는데 한명 키우기가 힘들어서 포기한 부모입니다
맞벌이 부부는 안물어봐도 정말 많이 힘들어서 둘쨰 생각도 하지않을것임</t>
  </si>
  <si>
    <t>출산장려~</t>
  </si>
  <si>
    <t>1. 안녕하십니까? 귀하께서 국민신문고를 통해 신청하신 민원에 대해 다음과 같이 답변드립니다.
2. 귀하의 민원내용은 '소아의료체계 강화'에 관한 것으로 이해되며, 보건복지부 필수의료총괄과에서 답변드립니다.
 ○ 보건복지부는 중증 소아환자 및 야간·휴일, 응급상황 소아진료 등 차질없는 소아의료체계 확립을 위해 간담회 등 폭넓은 의견수렴을 거쳐, 「소아의료체계 개선대책」을 발표(23.2.22.)하였습니다.
 ○ 또한, 발표 이후 현장의 추가적인 문제인식을 중심으로 후속대책을 마련하였습니다. (「소아의료 보완대책」 23.9.22.)
  - 전공의 수련보조 수당 지원을 비롯하여 중증·응급 소아진료강화, 병원 간 협력 활성화 지원, 소아진료 지역 공백완화, 미래 인력확보 방안 등 다각적인 지원방안을 마련하였습니다. 
 ○ 보건복지부는 귀하께서 염려하는 부분을 충분히 공감하고 있음을 알려드리며, 소중한 의견에 감사드립니다. 향후 소아의료체계 강화를 위해 관련 정책을 심도있게 점검하여 지속 개선해 나가도록 노력하겠습니다.
3. 귀하의 질문에 만족스러운 답변이되었기를 바라며, 답변 내용에 대해 추가 문의가 있는 경우 보건복지부콜센터(국번없이 129) 또는 필수의료총괄과(044-202-2669)로 문의 주시기 바랍니다. 감사합니다. 끝.</t>
  </si>
  <si>
    <t>출산지원책</t>
  </si>
  <si>
    <t>딸아이가 출산을 준비하고
실비보험을 찾아보다가
이상한것을 발견했습니다
종합입원비ㆍ종합통원비에
임신ㆍ분만(제왕절개포함)이
(보상하지 않는 사항)에 포함되어 있습니다
저출산 시대에
우선되어야할 
근본적문제가 해결되지 않고 있습니다</t>
  </si>
  <si>
    <t>출산부터 산후 조리비까지
국가ㆍ지방자치단체에서
전액 지원해 주는 방안</t>
  </si>
  <si>
    <t>자녀 줄산시!
산후조리는 시부모(친정부모)의 경제력에 따라 다르다는 말이 있습니다
경제력이 넉넉한 시부모(친정부모)를 둔 자녀는 지원을 받으면 산후 조리를 받고
그렇지 못한 산모들은 몸이  회복되기도 전에 퇴원를 하게됨은 물론
지원하지 못 하는 시부모(친정부모)는 자식의 눈치를 봐야하는 시대입니다
제안서가 받아들여진다면
모든 산모들이 건강하게 출산하고
평등한 산후 조리를 통해
건강한 엄마로 
충분한 케어를 받은 아기들은 
건강한 아기로 퇴원 할 수 있습니다
건강한 엄마와
건강한 아이들은 우리에 미래이기 때문입니다
누구는 태어난 순간  금수저가  아니라
태어나면 누구나 금수저가 될 수 있는 시대가 오길 바라며</t>
  </si>
  <si>
    <t>1. 안녕하십니까? 귀하께서 국민신문고를 통해 신청하신 제안(1AB-2309-0010711)에 대하여 회신 드립니다.
2. 귀하께서는 출산 및 산후조리비 지원을 건의하신 것으로 이해되며 아래와 같이 답변을 드립니다.
 ○ 건강보험에서는 제왕절개분만 입원본인부담률은 20%에서 5%만 부담하시도록 2016년부터 경감하여 지원하고 있으며, 자연분만시 입원본인부담률은 면제하고있습니다.
 ○ 추가로, 건강보험의 임신·출산진료비 바우처는 의사의 의학적 판단에 따라 임산부의 주기적인 산전 진찰로 건강한 태아를 분만할 수 있도록, 임신·출산과 관련된 진료비의 본인부담금을 일태아 100만원, 다태아 140만원(분만취약지 거주 임산부의 경우 20만원 추가 지원)을 지원하고 있음을 안내드립니다.
 ○ 국민건강보험은 국가예산으로 지원하는 복지제도와 달리 건강보험 가입자들이 직접 납부하는 보험료 범위 내에서 재원을 충당하기 때문에 한정된 보험재정 범위 안에서 비용 효과성 및 급여 우선순위 등을 고려하여 급여범위를 제한하고 있음을 양해하여 주시기 바랍니다. 향후 국민부담 수준 및 보험재정 여건 등을 종합적으로 고려하여 건강보험 보장성 확대를 위해 적극적으로 최선을 다해 노력하겠습니다.
 ○ 또한 정부는 '함께 일하고 함께 돌보는 사회 구축'을 위해 「제4차 저출산고령사회 기본계획」을 수립·발표('20.12월)하였으며, 향후 5년간 추진할 중장기 계획의 핵심사업으로 출생·육아에 따른 경제적 부담 경감을 위해 첫만남이용권(바우처) 사업을 시행하고 있으며, 다자녀가구의 출생, 양육비용 부담 경감을 위하여 '24년 부터 둘째아 이상 자녀에게 첫만남이용권 지원금액을 300만원 증액하는 내용을 발표하였습니다. 이를 통해 산후조리원 비용 지원 등 출산·육아에 따른 경제적 부담을 경감할 수 있을 것으로 판단됩니다.
3. 답변 내용에 대한 추가 문의사항이 있으신 경우 보건복지부 보건복지콜센터(국번없이 ☎ 129) 또는 출산정책과(☎ 044-202-3398)로 연락주시면 성실히 답변 드리겠습니다. 감사합니다.  끝.</t>
  </si>
  <si>
    <t>인구소멸 출산, 육아 장려</t>
  </si>
  <si>
    <t>대한민국 출산 0.7프로 평생에 여자가 아이를 낳을까 말까 할 고민의 여지도 없이,
한 명도 안 낳거나 한명만 낳는 시대.
동네 곳곳에 아이들이 떠들고 뛰어다니는 모습은 사라진지 오래되었습니다. 
앞으로 10년 -15년 후 대한민국은 아이들이 없고, 외국인들의 시대가 될 전망!
육아를 키우는 것에 대해, 장려금이 아닌 실질적인 혜택이 필요합니다. 
예전 같으면 너희 부부를 위해 육아를 낳았잖아! 라고 말 할 수 있겠지만 지금은
이 순간의 나를 위해 살아가는 시대입니다.
세상에 할 것도 배울 것도 해나가야 할 것들이 많은 시대에
육아는 많은 것을 내려놔야 하는 누군가의 적지 않은 시간가 노력, 희생이 필요합니다.
앞으로 대한민국에서 청년들이 사라지는 시대.
세금, 자금, 아까워 마시고 지금 부터라도 미친듯이 투자해야 합니다.
향후 5년간 행해지는 정책만이라도 시도해봐야 합니다.</t>
  </si>
  <si>
    <t>전국의 모든 지역 내 첫째 출산은 매월 100만원, 둘째 출산시 +200만원, 셋째 출산시 +300만원으로,
아이를 많이 낳을 수록 지원금이 줄어드는게 아니라 더 쎄게 지원해주는 겁니다.
그게 연년생으로 낳던, 쌍둥이를 낳던 상관없이
한명의 아이만큼 지원금이 나가야 합니다.
현재 대부분 1년입니다.
만약 제가 생각한 방법으로 했을 시  1년간 준다 해도, 1200만원, 2400만원, 3600만원 밖에 안됩니다.
그걸 육아 교육 자금 및 부모장려금으로 
출산신고 후 3년간 지원한다했을때 한 가족당 최대 2억 1600만원입니다.
이 아이가 평생을 살면서 내야하는 세금에 비하면 너무나도 작은 세금수준정도입니다.
우리는 이제 아이를 나라의 귀한 존재이자 복권으로 여겨야 합니다.
대신, 이를 악용하는 이가 있을 수 있으니, 한번에 지원금이 나가는 것은 절대 금물!
매월 지원금 나가기 전 아이들 성장 상태, 건강 상태를 지자체 및 보건소에서 확인하여
국가에서도 아이를 보호, 함께 양육한다는 책임감을 더하는 것으로 나가면 좋을 것 같습니다.</t>
  </si>
  <si>
    <t>이렇게까지 강하게 줄 필요가 있나? 싶겠지만
3년간 배수만큼 지원해줘야 하는 이유는
첫째 출산장려 + 육아 양육에 대한 하나의 책임감 있는 직무를 준다 생각하고
둘째 아이를 낳고 경제적인 문제로 가족 구성원 모두가 스트레스 받지 않고,
셋째 아이가 성장할 것을 대비하여 사전 집마련의 자금으로 보탬이 될 수 있고, 
넷째 사회로 복귀하고 자 하는 육아맘, 육아대디에게 배움의 기회비용으로 활용할 수 있고, 
다섯째 백의민족, 사라지는 순수 한국인을 다시 회복하고,
여섯째 20년후 노령층, 외국인 층만 남아있을 대한민국에 다시 자국민으로 채워져있고, 
일곱째 인구소멸로 인한 부동산 경제, 개발, 우범지역을 다시 재생시킬 수 있고,
여덟째 젊은 청년들에게 국가적 재난과 같은 문제들로 도망가지 않게 하고
아홉째 아이들은 희망이며, 대한민국 모두가 지켜야 할 자산입니다.
3년에 들어가는 비용이 아깝다고 고민하고
그 시기까지 놓치면, 향후 미래는 이보다 더 최악이 될 것입니다.</t>
  </si>
  <si>
    <t>1. 안녕하십니까? 귀하께서 국민신문고를 통해 제안주신 사항에 대해 검토한 결과를 다음과 같이 안내드리겠습니다.
2. 우선, 정부의 출산 지원 정책과 관련하여 관심을 갖고 제안을 주신 점에 감사드립니다.
3. 귀하께서 제안주신 사항은 '출산관련 지원금 확대'에 대한 사항으로 이해되며, '부모급여 확대'와 관련하여 보육사업기획과에서 답변드리겠습니다. 
 ㅇ 정부는 출산이나 양육으로 인해 손실되는 소득을 보전하고, 영아기 돌봄을 두텁게 지원하기 위하여 부모급여를 도입하였습니다.
   * ('23) 만 0세 70만원, 만 1세 35만원
('24) 만 0세 100만원, 만 1세 50만원
 ㅇ 귀하께서 제안하신 다자녀 출산 시 부모급여 지원 확대하는 것은 많은 추가 예산이 소요되는 사항으로 한정적인 국가의 재정여건을 고려하고, 사회적 합의를 거치는 등 신중히 검토해야 할 사항임을 양해해 주시기 바랍니다.
4. 출산 양육 등의 지원을 위한 정부의 지원정책에 대해 인구정책총괄과에서 총괄적으로 답변드리겠습니다. 
 ㅇ  정부는 지난 3.28일 대통령 주재 2023년 제1차 저출산고령사회위원회에서 "결혼·출산·양육이 행복한 선택이 될 수 있는 사회 환경 조성"을 목표로 저출산 정책과제를 선택과 집중하기 위한 추진 전략을 발표(「윤석열 정부의 저출산 정책과제 및 추진 방향」)한 바 있습니다.
   - 동 대책에서 저출산 주요요인, 정책연관성 및 효과성, 체감도 등을 고려하여 5대 핵심분야(돌봄·교육, 일·육아 병행, 주거, 양육비용 지원, 건강)와 주요과제를 선택하여 우선 추진하기 위한 대책 방향을 제시하였습니다.
 ㅇ 우리부는 양육비용 부담완화를 위하여 임산부 대상 임신·출산진료비 지원(국민행복카드 100만원), 고위험 임산부 및 미숙아·선천성 이상아 등에 대한 진료비 지원
등을 통해 의료비 부담을 줄이고, 첫만남이용권(출생아 200만원 바우처), 아동수당(만 7세까지 월10만원) 지원하는 등 양육부담을 줄이기 위한 지원을 하고있습니다.
 ㅇ 더불어 건강보험을 통해서도 소득수준과 무관히 양육과정에 의료비 부담을 완화하기위해, 신생아에 대한 입원진료비 본인부담 면제, 15세 이하 아동 입원 진료비 5% 적용(일반환자20%) 등이 적용되고 있으며, 내년부터는 2세 이하 영유아 입원 진료비는 본인부담율이 0%로 조정됨을 알려드립니다.
5. 저출산 고령화 정책에 관심을 갖고 소중한 제안을 해주심에 다시 한번 감사드리며, 정부는 체감도 높은 정책을 지속 발굴하고, 더불어 향후 정책을 수정·보완하는 과정에서 귀하의 민원 취지를 고려하여 검토하도록 하겠습니다.
6. 귀하의 가정이 평안하시길 바라며, 기타문의사항이 있으신 경우, '부모급여' 관련 보육사업기획과(☎044-202-3572), '아동수당' 관련 아동복지정책과(☎044-202-3420), '임신출산진료비 지원' 관련 보험급여과(☎044-202-2735)로 문의주시기 바라며 총괄적으로 인구정책총괄과(☎044-202-3367)에서 답변드렸습니다. 감사합니다.  끝.</t>
  </si>
  <si>
    <t>대한민국 출산율 저하관련 제안건</t>
  </si>
  <si>
    <t>대한민국 출산율 지속적으로 저하 , 이혼율도 높음</t>
  </si>
  <si>
    <t>출산 초기 비용이  많이 든다 &gt; 애기 키우기가 힘들다 
애기 키우는게 스트레스가 심하다 &gt; 전세계적인 공통점이라서 이걸가지고 트집잡는것은 이상한것, 이런 이유로 출산율이 턱없이 적어진거면 대한민국 맨탈 수준이 형편없는것
애기 일단 낳아라 &gt; 명당 1000만원씩 지급, 100만명이면 10조 정도 나옴 , 대한민국 인구의 1/50
애기 낳으면 이혼율도 적어짐 &gt; 남편 혹은 아내  사이의 문제라고 생각할수있지만 가족 즉 아이가 이혼을 방지/해결할수도 있음 , 치디 아나곤예 (더 굿 플레이스)  혹은 내가 어렸을때도 엄마가 이혼할려는거 아빠가 아닌 내가 뜯어서 말렸음
예전에도 장난삼아 부모님이 저랑 형때문에 이혼안하고 살고있다고 말씀하셨음
이혼율 적어짐&gt; 아기 출산 가능성도 높아질수있음</t>
  </si>
  <si>
    <t>현재 1년간 출산 인구 40만
인당 1000만원으로 10조 투자시 출생인구 100만 
국방비 예산 60조원 
국방비 예산정도로 투자시 600만 출산가능 , 이론상 
아시겠지만 인구많아질수록 시장경제도 살고 유능한 인재도 많이 나와서 긍정적인 면이 아주 많은거 같습니다 
몇년후에는 인구도 많아져서 세금도 많이 걷히고 그걸로 1000+alpa 해서 출산율 더 늘릴수있을거라고 기대함 
결론 : 쓸모없는 예산(공익광고 등등) 아끼고 모으고 비효율적인 부처 줄여 예산낭비 ↓ 필요 ,  작은정부 형태가 필요 , 출산장려부 만들어서 대책 실행필요</t>
  </si>
  <si>
    <t>1. 안녕하십니까? 귀하께서 국민신문고를 통해 신청하신 제안(1AB-2212-0011123)에 대하여 회신 드립니다.
2. 귀하께서는 출산지원금 혜택 강화을 건의하신 것으로 이해됩니다.
3. 제4차 저출산 고령사회 기본계획에 따라 육아에 대한 경제적 부담 완화를 위해 아래와 같은 정책을 추진하고 있습니다.
 ○ 첫만남꾸러미Ⅰ: 임신,출산 의료비 바우처 100만원 지원
 ○ 첫만남꾸러미Ⅱ: 출생시 아동당 200만원 지원
 ○ 아동수당 : 보육시설 이용여부 관계없이 만8세 미만 아동에 월 10만원 지원
 ○ 부모급여 : 만0세 아동 월 70만원, 만1세 아동 월 35만원 지원('24년부터 만0세 아동 월 100만원, 만1세 아동 월 50만원으로 확대) 또는 어린이집 이용시 51만 4000원의 보육료 바우처 지급(만 0세는 부모급여와 보육료 바우처 차액인 18만 6000원 현금 추가지급)
  * 현행 가정양육수당과 보육료바우처를 통합한 수당으로 '22년 출생아부터 적용
 ○ 가정양육수당: 보육시설 미이용 만2~7세 아동에 월10만원 지원('22년 이전 출생아에 적용)
 ○ 보육료지원 : 보육시설 이용 만0~1세 영아에 바우처로 월 50만원 지원, 만2~7세 아동에 월28~30만원 지원(’22년 이전 출생아에 적용)
  ※ 상위 제도는 자녀순서에 관계없이 모든 아동 1명에게 동일 지원
4. 아동 진료비 본인부담률 인하, 고위험 임산부 의료비지원 대상 질환 확대 등 아이를 낳고 기르는데 필요한 의료비 부담을 완화하였으며, 무상보육, 무상영유아교육, 초중고 무상교육실시('19), 다자녀가구 셋째이후로 대학등록금 면제(첫째,둘째는 감면) 등 교육비 부담완화를 위한 다양한 정책을 추진 중에 있습니다.
 - 또 일-양육 병행이 가능한 노동환경 구축울 위해 출산전후 휴가급여 인상, 육아휴직 급여 확대(통상임금의 80%, 최대 월 150만원) 및 특례적용(출산1년이내 부모모두 육아휴직시 부모각각에 최대 200만원 3개월 지급)등의 양육부담 완화 정책을 대폭 확대하여 실시하고 있습니다.
5. 출산시 정부가 지급하는 금액은 귀하께서 제안하신 1000만원을 넘는 금액이며 출산지원금의 확대는 대규모 예산 확보사항으로 사회적인 합의와 중장기적인 검토가 필요함을 알려드립니다.
6. 답변 내용에 대한 추가 문의사항이 있으신 경우 보건복지부 보건복지콜센터(국번없이 ☎ 129) 또는 출산정책과(☎ 044-202-3398)로 연락주시면 성실히 답변 드리겠습니다. 감사합니다.  끝.</t>
  </si>
  <si>
    <t>(임신/출산정책)유전 질환 보유자들의 특수 시험관 비용 지원이 필요합니다.</t>
  </si>
  <si>
    <t>저희부부는 상염색체열성 다낭성신질환 유전체 보유로 인해 태아에게 유전되었고 21주차에 중기유산을 경험했습니다. (태아 콩팥에 다낭성 기포로 인해 콩팥이 커지고, 출산 시 사망 또는 평생 투석 필요)
자연임신 시 동일한 병증이 유전될 가능성이 있어서 반드시 시험관 시술을 통해 문제되는 유전자를 제외하여 진행해야하는데, 이 경우 pgt-m과 같은 시술로 인해 고 비용이 발생합니다.(시험관 시도 시마다 많은 비용 발생)
기존의 시험관 지원비용(동결배아 100만원가량/회당)으로는 턱없이 지원이 부족하여 대출까지 받아가며 시도해야하는데, 저희와 비슷한 가정들도 국가출산에 기여할수 있도록 지원 부탁드리겠습니다.</t>
  </si>
  <si>
    <t>태아 생존에 영향을 크게 미치는 유전질환을 보유한 가정에게 
시험관- 배아 유전자검사(pgt-m) 시술에 대한 지원사업 필요</t>
  </si>
  <si>
    <t>유전질환 보유 가정의 아이 출산을 장려하여 국가 출산율에 기여</t>
  </si>
  <si>
    <t>1. 안녕하십니까? 귀하께서 국민신문고를 통해 신청하신 제안에 대하여 검토 후 다음과 같이 답변드립니다.
2. 귀하의 제안 요지는 '난임시술 중 착상 전 유전검사 지원'에 관한 것으로 이해됩니다.
3. 우선 현재 난임시술과 관련한 정부지원 등에 대하여 다음과 같이 안내드립니다.
 ○ 정부는 난임부부의 경제적 부담을 경감하고자 2006년부터 체외수정 시술비 지원을 시작으로 2017년 10월 난임시술(자궁내 정자주입 및 체외수정 시술)에 대한 국민건강보험 급여를 실시하여 소득수준에 관계없이 시술 비용을 지원하고 있습니다.
   - 난임시술 급여 보장 횟수 확대 및 연령 제한 폐지, 사실혼 부부 지원, 만 45세 미만 여성 본인부담률을 일괄 30%로 인하하는 등 난임부부 지원 정책을 지속적으로 확대하고 있습니다.
 ○ 건강보험의 보편적인 지원에 더하여 저소득층 및 일부 중산층에 대해 건강보험 본인부담금을 보충적으로 지원하기 위한 '난임부부 시술비 지원사업'을 시행하고 있습니다.
   - 참고로, 시술비 지원사업은 정부의 재정분권 추진에 따른 지방이양 결정으로 2022년 1월부터 지방자치단체가 추진하며, 소득기준 등을 완화하여 지원을 단계적으로 확대하고 있습니다.
4. 위와 같이 난임부부를 위해 지원 정책을 지속적으로 확대하고 있으나, 시술비 지원사업은 저소득층 난임부부를 위한 보충적 지원사업으로서 신체적 부담, 효과성, 비용 부담 등 건강보험 체계 내에서 검증되지 않은 비급여 시술·약제의 지원은 불가하나, 배아동결비, 유산방지제 및 착상보조제에 한해 실질적인 비용 부담을 낮추기 위해 제한적으로 지원하고 있습니다.
  - 착상 전 유전검사는 현재 예방진료로서 질병·부상의 진료를 직접목적으로 하지 아니하는 경우에 실시되는 유전성질환 등 태아 또는 배아의 이상 유무를 진단하기 위한 유전학적 검사 등은 의학적 타당성, 필요성 등을 고려하여 현행 국민건강보험에서 비급여로 적용되고 있습니다.
  - 이에 대한 지원 범위 확대는 소요예산 및 지자체별 재정 여건 등 종합적인 고려가 필요한 사안으로, 정부는 난임부부의 건강과 안전을 고려한 지원이 이루어질 수 있도록 지자체와 협력하여 다각적인 방안을 적극 검토해 나갈 것을 말씀드립니다.
5. 답변 내용에 대한 추가 설명이 필요한 경우 보건복지부 출산정책과(044-202-3396)로 문의하시면 친절히 안내드리도록 하겠습니다.  끝.</t>
  </si>
  <si>
    <t>의과대 정원 증가는 저출산때문을 명시하고 협상을</t>
  </si>
  <si>
    <t>현재 지방에는 의사가 없어서, 해당지역이 소멸중입니다. 반면 의협은 밥그릇 지킨다고 파업한다고 합니다. 파업명분을 없에고, 의대도 지방에 보내 인구소멸을 막아야 합니다.</t>
  </si>
  <si>
    <t>1.출산여성 우대 의과대를 지방에 신설한다.
의대신설시 조건은 출산여성을 우대하는 대학에 신설을 허용 합니다. 대학원과정이라, 미취업 대학졸업자들이 대거 도전하게 됩니다.
의대갈려다 떨어진 인원들이 출산을 하게 됩니다.
2.의협에 지방에 의사가 없어서 신설 이유를 먕확히하고, 의협에서 의사를 전국 고루배치한다면 철회한다고 합니다.
서울에는 총의사 20%만 배치하고 수도권은 45%를 초과할수 없고, 각 군 도시아닌 지역에 의사는 반드시 의사 총수의 20%이상을 확보해야 하고, 미달 인원수 만큼 의대 총원은 증가한다. 누가갈지는 의협에서 알아서 정한다.</t>
  </si>
  <si>
    <t>지방에 의사들이 의협에서 알아서 배치를 하던, 의대생이 무한 증가로 증가하던 하게 됩니다. 시장원리상 과잉의사는 결국 지방 군 단위까지는 고루 분산되게 됩니다.
여성이 출산을하면 돈 얼마 주는 것보가, 확실한 수익을 만들어주기때문에 여성 출산율이 올라가게 됩니다.
정부의 일방적 행위로 의협파업 명분을 없에버림니다. 의협이 지방에 의사들을 배치하면 의대 안늘리게 됩니다. 정부입장에선 큰 돈 없이 국민 의료사각지대와 출산율까지 올리게 됩니다.</t>
  </si>
  <si>
    <t>1. 안녕하십니까? 귀하께서 국민신문고를 통해 제안해 주신 내용은 '출산여성 우대 의대신설 등'에 관한 것으로 이해됩니다.
2. 귀하의 제안사항에 대해 검토결과는 다음과 같습니다.
 ○ 정부는 지역의 의사 부족 문제로 인한 지역 의료인력 불균형 심화를 엄중하게 인식하고 있으며, 의사인력 확대는 인구 초고령화에 대비하고 의료수급을 안정화 하기 위해 더이상 미룰 수 없는 과제로 생각하고 있습니다.
 ○ 이에, 의사인력 확충 및 배분 등 필수의료 강화 및 의료체계 개선과 관계된 의료현안 논의를 위해‘23.1월부터 의료현안협의체를 운영하며 의료계와 논의중에 있으며, ‘23.8월부터 보건의료정책심의위원회 산하에 소비자·환자 단체, 전문가 등으로 전문위원회를 구성하여 각계 다양한 의견을 수렴하는 등 더욱 심도있게 논의 하고 있습니다. 
 ○ 의사 수 확대가 시급하다는데 상당한 사회적인 공감대가 있는 만큼 정부도 '25학년 의대 입학정원 확대를 목표로 원활한 추진을 위해 노력하겠습니다.
 ○ 아울러, 귀하께서 제안하신 출산여성 우대 의대신설 및 의사 배치 등에 관한 사항은 필요성, 효과성 등에 대하여 신중한 검토가 필요합니다.
 ○ 정부는 확대된 의사인력이 지역에서 활동하는 의사로 유입될 수있도록 ▲지역인재전형 확대, ▲의대생 지역의료 실습프로그램 지원, ▲전공의 정원 지방배정 확대 등의 지역의사 양성 방안 마련을 위해 노력하겠습니다.
3. 보건복지부 정책에 관심을 갖고 제안해 주심에 감사드립니다. 답변 내용에 대한 추가 설명이 필요한 경우 보건복지부 의료인력정책과(044-202-2432) 또는 보건복지상담센터(129)로 연락주시면 안내해 드리도록 하겠습니다. 감사합니다.  끝.</t>
  </si>
  <si>
    <t>저출산 시대에 난임, 임신을 준비하는 시민들에게 도움이 되는 책자 or 브로셔 기증.</t>
  </si>
  <si>
    <t>임신준비(난임,시험관)_책자 기증 제안서.pdf</t>
  </si>
  <si>
    <t>한국 여성의 결혼 시기가 늦어지면서 가장 큰 문제로 대두되는 것이 바로 임신과 출산의 문제입니다.
결혼 연령의 상승과 늦어지는 출산 시기, 환경 호르몬의 증가 등으로 임신의 고통을 호소하는 부부가 늘어나고 있습니다. 실제로 건강보험심사평가원의 국민관심질병통계에 따르면 난임 환자 수는 2017년 20만 8704명에서 2018년 22만 9460명, 2019년에는 23만 802명으로 최근 3년 평균 약 5%씩 증가하고 있는 추세입니다.
저출산이 사회의 큰 무제가 있는 요즘 나라에서는 여러 가지 방편으로 출산 지원, 난임 지원 등등 다양한 지원을 늘리고 있지만 ’임신 준비를 어떻게 해야 하는지‘ 기본적인 것부터 모르는 사람들이 대부분이며, 이에 관한 도서도 제대로 나와 있지 않은 현실입니다.</t>
  </si>
  <si>
    <t>임신을 준비하는 부부, 아기 갖기를 희망하는 부부, 난임 부부, 시험관 하는 부부 등등 임신을 하고 싶은 분들에게 대한민국 대표 산부인과 의사들의 임신 준비를 위한 알찬 내용을 전달하고 싶습니다.
보건복지부에서도 장관상을 수상하신 의료진 입니다.
- 자세한 내용은 첨부 파일 확인 부탁드립니다 -</t>
  </si>
  <si>
    <t>임신을 준비하는 부부, 난임,시험관으로 고생하는 부부 에게는 임신 가능성을 높이고, 신혼 부부들도 임신을 미리 준비할 수 있습니다.</t>
  </si>
  <si>
    <t>1. 안녕하십니까? 귀사(임직원)가 국민신문고를 통해 신청하신 제안에 대하여 검토 후 다음과 같이 답변드립니다.
2. 우선 귀사의 또 다른 제안(1AB-2311-0002077)과 같은 답변을 드리는 점 양해하여 주시기 바랍니다. 귀사의 제안 요지는 '임신 준비 부부 대상 정보 제공'에 관한 것으로 이해됩니다.
3. 보건복지부는 인구보건복지협회 등과 협력하여, 임신·출산 친화적 환경 조성을 위해 안전하고 정확한 종합정보 제공과 건강, 심리, 사회복지 지원을 위한 맞춤형 통합 상담을 지원하는 임신·출산·육아 종합포털 '아이사랑'(www.childcare.go.kr)을 운영하고 있습니다.
4. 아울러, 난임부부에게 정보를 제공하기 위해 건강보험심사평가원, 한국보건사회연구원과 함께 '난임 가이드북'과 '난임시술 및 상담·교육 가이드', 각종 리플릿 등을 제작하여 난임시술 의료기관에 배포*하였습니다.
  * 중앙 난임·우울증 상담센터 누리집(www.nmc22762276.or.kr) &gt; 자료실 &gt; 관련자료에도 게시
5. 귀사가 제안한 책자 기증 사업은 임신과 난임에 대한 정보 제공에 기여하고자 하는 뜻으로 이해되나, 공공성에 기반을 둔 정부의 검증되고 안전한 정보 제공 취지와 차이가 있습니다.
6. 답변 내용에 대한 추가 설명이 필요한 경우 보건복지부 출산정책과(044-202-3396)로 문의하시면 친절히 안내드리도록 하겠습니다.  끝.</t>
  </si>
  <si>
    <t>임산부 감사 표시를 통한 출산 장려.</t>
  </si>
  <si>
    <t>지하철 에서 아직 표시나지 않는 임산 부 가 임산부 자리에 앉아서 아주 불편해 하는 모습을 여러번 목격 했습니다. 그러다 옆에 자리가 나자 옮겨 앉는 모습이 많이 안타까웠습니다. 우린 좋은 방침으로 도 활용 성이 떨어진다고 생각 합니다. 임산부 전용 좌석을 백 분 활용 할수 있게 해주세요.</t>
  </si>
  <si>
    <t>임신한 모든 여성 에겐 임신을 아는 순간 부터 모든 국민이 감사 할 수 있도록 작은 표시는 어떨까요? 공무원 이나 국회 의원님 뱃지 처럼 소중 하고 예쁜 14 금 정도 의 작은 하트 모양이나 카네이션 같은 뱃지를 자랑스럽게 달아드리면 모든 사람들이 감사하게 되며  본인역시 당당할수 있도록 배려해 주세요.</t>
  </si>
  <si>
    <t>임산부 자리에 조심스럽게 앉아 안절 부절 하는 임산부가 없었으면 합니다. 더구나 국가가 인정 하는 뱃지를 다는  순간 부터 우리 국민 모두는 감사 하며 자랑스럽게 생각 할뿐아니라 본인도 어디서든 당당 하지 않을까요? 
이런 작은 배려로 젊은 여성들에게 임신이 얼마나 대단한 애국이며 모든 국민이 감사 해 한다는  인식이 각인되길 소망합니다. 
감사 합니다. 꼬옥 이행되길 바랍니다.</t>
  </si>
  <si>
    <t>1. 안녕하십니까? 귀하께서 국민제안을 통해 신청하신 제안에 대하여 검토 후 다음과 같이 답변드립니다.
2. 귀하의 제안 요지는 '임산부 배려 홍보 강화'에 관한 것으로 이해됩니다.
3. 보건복지부와 인구보건복지협회는 임신·출산에 대한 존중문화를 조성하기 위하여 2006년부터 임산부 배려 엠블럼 배지(가방고리 등)을 제작·보급하고 있습니다.
  - 더불어 임산부 배려 문화 조성의 일환으로 2013년부터 교통사업자와 협력하여 기존 교통약자석*과 별도로 지하철 내 임산부 배려석을 운영·확대 중에 있으며, 배려 엠블럼을 통해 주변의 도움과 배려를 받을 수 있도록 지하철 내 안내방송, 라디오 방송, 캠페인 등을 지속적으로 실시하고 있습니다.
    * 「교통약자 이동편의 증진법(국토교통부)」에 따라 도시철도에 사용되는 차량의 10분의 1 이상에 해당하는 부분을 교통약자 전용구역으로 배정하고 있으며, 교통약자란 장애인, 고령자, 임산부, 영유아를 동반한 사람, 어린이 등 일상생활에서 이동에 불편을 느끼는 사람을 말합니다.
4. 2022년 인구보건복지협회가 임산부와 일반인 3,000명을 대상으로 실시한 설문에 따르면, 임산부 배려 실천 수준이 10점 만점에 5.93점으로 2018년 4.83점에 비해 사회적 인식이 점차 개선되고는 있지만, 귀하께서 불편을 겪으신 것처럼 아직도 임산부의 대중교통 이용에 대한 우리 사회의 인식과 배려가 더욱 필요한 상황입니다.
 - 특히, 초기 임산부들은 유산의 위험, 입덧과 구토, 과다한 피로감 등 신체적·정신적 어려움을 겪음에도 외견상 표시되지 않아 대중교통 이용 시 그 어려움이 많은 것으로 알고 있습니다.
5. 보건복지부는 '임산부 배려 캠페인'을 더욱 적극적으로 실시하여 국민인식 개선 및 임산부 배려 문화가 잘 정착될 수 있도록 더욱 노력하겠습니다. 답변 내용에 대한 추가 설명이 필요한 경우 보건복지부 출산정책과(044-202-3396)로 문의하시면 친절히 안내드리도록 하겠습니다.  끝.</t>
  </si>
  <si>
    <t>저출산 해결책( 곧4남매 아빠의 아이디어)</t>
  </si>
  <si>
    <t>KakaoTalk_20231215_153348421.mp4</t>
  </si>
  <si>
    <t>예를 들면 임대아파트는 주로 도심에서 떨어져 있거나 교통이 안좋거나 초중고가 근처에 없고 평수가 작습니다.
금연 광고는 티비에 자주 나오지만 저출산 이라면서 감동을 주는 광고는 잘 없습니다.</t>
  </si>
  <si>
    <t>대구에 사는 3남매 아빠 입니다. 내년에 넷째가 태어납니다. 
오래전부터 저출산 해결 방법이 몇가지 생각났습니다.
2가지는 국토부, 교육부, 법무부가 협조해야되는 거라 조금 오래 걸리는 방법이고, 최근에 생각한 한가지는 보건복지부만 동의 하면 바로 실행 할 수 있습니다.
바로 저예산 시리즈 광고 입니다. 
예산이 부족하다면 제가 13개월 된 딸 아이와 함께 출연해서 광고 찍겠습니다.
달마다 1개씩 6개월 정도만 감동을 주는 광고를 온국민이 본다면 제 계산으로 1년 3개월 후에는 출생아가 30만명을 넘을것 이며 1년6개월 후에는 35만명 2년후에는 40만명을 넘을 것 입니다.
더 나아가 출산율이 1.5까지는 충분히 가능할 것 같습니다. 
옛날에 새마을 운동 광고를 생각해 보십시요. 꼭 될 것입니다.
광고 콘티나 아이디어는 제 머릿속에 다 있습니다. 
오래전부터 생각한 실현가능한 아이디어니 묵고 하지 말고 연락주십시요. 감사합니다.</t>
  </si>
  <si>
    <t>제가 생각하고 있는 광고는 저출산 문제만 국한된 것이 아니라, 국민연금 금연광고 와도 연관되어있어서 아주 기발한 아이디어입니다. 특히 국민연금을 걱정하는 2030 세대들에게 희망을 주는 광고가 될것입니다. 
증거로 복스럽고 귀여운 아이들 영상을 보냅니다.</t>
  </si>
  <si>
    <t>1. 안녕하십니까? 보건복지부 인구정책총괄과입니다. 귀하께서 국민신문고를 통해 건의해주신 내용에 대한 검토 결과를 다음과 같이 알려드립니다.
2. 먼저 인구정책에 관심을 가지고 의견 주신 점에 대해 깊은 감사 말씀드립니다. 귀하께서는 저출산 문제 해결을 위해 저예산 시리즈 광고를 1개월 간격으로 제작과 송출을 건의하신 것으로 이해됩니다. 
3. 저출산에 대한 인식 전환을 위해 광고 제작과 송출이 필요하다는 귀하의 의견을 검토해볼 필요가 있는 내용이라고 판단됩니다. 
  ○ 정부에서는 저출산 문제를 알리고 출산과 양육에 대한 인식 변화와 가족 친화적인 사회 분위기 조성을 위하여 정책 홍보와 인식 개선을 목표로 하는 영상을 활용하여 온라인 광고, TV, 옥외 광고 등을 진행한 바 있으며, 올해도 방송 매체를 활용한 홍보를 계획 중에 있습니다. 앞으로 건의하신 내용을 반영하여 저출산 문제 해결을 위해 다양한 매체를 통한 사회문화적 분위기 조성과 저출산에 대한 인식 개선 방안을 검토하도록 하겠습니다. 
4. 정부는 정책을 만들고 실천함에 있어서 국민의 의견을 충분히 반영할 수 있도록 더욱 노력하겠습니다. 아울러 보다 나은 정책을 만들기 위해 국민들과 지속적으로 소통하며 고민하겠습니다. 인구 정책에 관한 소중한 의견 주셔서 감사드리며, 기타 문의사항이 있으신 경우 보건복지부 인구정책총괄과(044-202-3373) 또는 보건복지부 콜센터(국번없이 129)로 연락주시면 안내드리겠습니다. 감사합니다.  끝.</t>
  </si>
  <si>
    <t>장애아 출산율을 낮출 수 있도록 신혼부부와 임산부에게 유전질환 검사를 필수로 시행해주세요.</t>
  </si>
  <si>
    <t>저는 유전 질환으로 인해 청각 장애를 가진 아기의 엄마입니다. 
 우리 아기에게 유전된 난청 유전자는 우리나라에서 가장 흔한 난청 유전자 중 하나로, 60명 중 1명이 보인자일 정도로 아주 흔합니다. 단순히 계산해도 인구 5천만명 중 83만명은 이 유전자를 보유하고 있는 것입니다. 두 번째로 흔한 난청 유전자는 100명 중 1명이 보인자입니다. 가장 많은 비율을 차지하는 이 두 유전자만 합쳐도 굉장히 많은 수의 국민이 난청 유전자의 보인자인 것입니다.
 이 난청 유전자는 열성 유전이기 때문에, 부모 모두 유전자를 가지고 있어도 75%의 확률로 정상아로 출생되어 굉장히 흔함에도 불구하고 스스로 유전질환 보인자라는 사실을 알기 어렵습니다. 그리고 대게의 경우 가족 중 청각 장애를 가진 사람도 없기 때문에, 자녀의 난청이 진단된 후에야 비로소 부모에게 난청 유전자가 있었다는 사실을 알 수 있게 됩니다. 아기가 태어난 후에도 난청 여부를 빨리 알지 못하면 자신들이 유전 질환 보인자인 사실도 모른 채 둘째, 셋째까지 낳아 다른 자녀까지 유전 질환을 보유하게 되는 경우도 많습니다.
 저희 부부는 가족력도 없고 신체 건강한데도 이런 유전자를 가지고 있었으니, 저희가 모르고 있는 또 다른 질환 유전자가 없으리라는 보장도 없지 않습니까? 저희는 둘째를 낳고 싶은데, 또 어떤 유전 질환이 있을지 모르니 아기를 더 낳기 두렵습니다. 가뜩이나 저출산으로 태어나는 아기의 수가 나날이 줄어드는 국가적 위기 상황에서 장애 아동 출생을 줄이고 건강한 인구를 늘릴 수 있는 방법이 있다면 마땅히 국가 정책으로 시행해야 하지 않겠습니까?</t>
  </si>
  <si>
    <t>1) 신혼 부부 유전 질환 검사 시행
- 검사를 통해 유전 질환 보인자임을 미리 알게 될 경우 착상 전 유전검사(PGT-M)을 통해 위험 유전자를 배제하여 건강한 아기를 출산할 수 있습니다. 
- 검사로 유전 질환이 나오지 않으면 안심하고 자녀 계획을 세울 수 있어 저출산 극복에 도움이 됩니다.
2) 임산부 유전자 선별 검사 시행
- 제가 가지고 있는 난청 유전자의 경우, 임신 초기에 피 검사로 태아가 난청 유전자를 보유 중인지 확인할 수 있는 방법이 개발 되어있습니다. 임신 중에 장애 여부를 선별할 수 있는 방법이 있었음에도, 정보에 접근할 수 있는 방법조차 없어 그대로 유전 질환을 가진 아기를 출산하게 된 것이 매우 개탄스럽습니다. 현재 임신 중에 받을 수 있는 기형아 검사, 니프티 검사, 양수 검사 등의 검사로는 진단할 수 있는 장애 및 기형의 범위가 너무 적습니다. 앞서 언급한 난청 유전자를 포함하여 미리 선별할 수 있는 다른 유전 질환을 검사할 수 있도록 범위를 확대하고, 국가에서 검사를 적극 지원해야 합니다.</t>
  </si>
  <si>
    <t>장애 인구로 인해 발생하는 사회적 비용을 줄이고, 건강한 아기를 한 명이라도 더 늘릴 수 있습니다.
저출산과 노산으로 갈수록 문제가 많은데, 장애아 출산의 부담감을 줄이기만 하여도 저출산 극복에 큰 도움이 될 것입니다.</t>
  </si>
  <si>
    <t>1. 안녕하십니까? 귀하께서 국민신문고를 통해 신청하신 국민제안(신청번호 1AB-2312-0012301)에 대한 검토 결과를 다음과 같이 알려드립니다.
2. 귀하의 제안사항에 대해 검토한 의견은 다음과 같습니다.
○ 「생명윤리 및 안전에 관한 법률」(이하 "생명윤리법") 제50조제2항에 따르면 배아 또는 태아를 대상으로 유전자검사를 할 수 있는 유전자검사는 유전질환을 진단하기 위한 목적으로 제한되어 있습니다. 총 209개 유전질환에 한하여 검사 가능하도록 규정되어 있으며, 질병의 치명도 및 증상의 중증도 등을 기준으로 전문가 의견수렴을 거쳐 필요하다고 인정될 경우 질환을 추가하고 있습니다.
○ 배아 또는 태아 대상 유전자검사는 생명권 등의 문제와 밀접한 관련이 있어 의학계, 윤리계, 종교계, 환자단체 간의 첨예한 의견 대립이 존재합니다. 특정 목적을 위한 배아의 선택은 선택받지 못한 배아의 폐기를 수반하는 등의 윤리적 쟁점이 있어, 규정된 유전질환 진단에 한하여 제한적으로 허용되고 있음을 안내드립니다.
3. 기타 보다 자세한 내용이 알고 싶으시다면 보건복지콜센터(129번) 혹은 보건복지부 생명윤리정책과(담당자 044-202-2614)로 문의하시기 바랍니다. 늘 건강하시고 평안하시길 바랍니다. 감사합니다. 끝.</t>
  </si>
  <si>
    <t>육아전용 공동주택 건설</t>
  </si>
  <si>
    <t>- 국가에서 육아전용 아파트를 건설해서 아이들이 2 이상 있는 부모에게 우선 살도록 합니다.
- 아파트 신축 시 층간 소음 방지를 위해서 소음재에 많은 투자를 합니다.(아파트에 기본적으로 방음매트도 지급) 
- 아파트 내 아이들 병원등을 위해 관내 소방서와 관내 야간 병원등과 바로 통화가 가능한 인터폰등을 제공합니다.
- 아파트 내 아이들 어린이집등을 입주 어린이를 받을수 있도록 짓고 선생님들도 가사와 아이들을 동시에 볼수있도록
  공동육아 개념을 도입합니다.
- 육아시설을 조금 늦게 운영해서 워킹맘들에게 편의를 제공합니다.
- 또한 관내 어르신들 아이들은 키워본 분들을 동참하게 해서 공동육아 시 도움을 받습니다.
-- 아이들 먹는것은 관내 농산물을 이용해서 로컬 푸드의 개념을 도입합니다.</t>
  </si>
  <si>
    <t>1. 안녕하십니까 보육정책에 관심을 가져주셔서 감사드리며, 귀하께서 국민신문고를 통해 신청하신 제안(1AB-2401-0003156)에 대하여 회신드립니다.
 2. 귀하의 제안 내용은 '공동주택 내에 어린이집'으로 이해되며 아래와 같이 답변을 드립니다.
  ○ 「영유아보육법 시행령」 제19조의2에 따라 500세대 이상 공동주택에 「주택법」 등 관련 규정에 따라 주민공동시설로서 일반적으로 설치되는 어린이집이 '국공립어린이집'으로 설치되도록 규정하고 있으며, 「영유아보육법 시행규칙」 제23조(어린이집의 운영기준) 별표8에 따라 어린이집은 주 6일 이상, 하루에 12시간 운영해야 하며 영유아 및 부모에게 불편을 주지 않도록 운영하고 있습니다. 
  ○ 어린이집 이외의 제안하신 공동육아시설과 관련해서는 「아이돌봄지원법」 제19조서 국가 및 지방자치단체가 공동육아나눔터의 설치·운영할 수 있도록 규정하고 있으니 자세한 사항은 여성가족부로 문의하시기 바랍니다. 
 3. 항상 저희 보육정책에 관심을 가져주셔서 대단히 감사드리며, 추가 문의사항이 있으신 경우 보건복지부 보건복지콜센터(국번없이 129) 또는 보육정책과(044-202-3557)로 연락주시면 성실히 답변드리겠습니다. 감사합니다.  끝.</t>
  </si>
  <si>
    <t>저출산 해결방안</t>
  </si>
  <si>
    <t>지금 저출산문제가 심각한 수준입니다.(아시다시피)
그러나 저출산문제는 오래전부터 얘기했었는데, 왜 올해가 되어 화두가 되는지 모르겠으나,
중요한 건 저출산 문제를 해결하는건, 비단 육아휴직지원, 비용지원 이런걸로 되는게 아니라고 생각듭니다.
참고로 저또한 애를 낮고 싶은 사람들 하나이나, 여러 문제로 낳질 못하는상황입니다.
가장중요한건, 애를 낳기 싫어하는 사람도 있지만 애를 낳고 싶어하는 사람도 많다는겁니다. 
낳기 싫어서 낳지 않는사람은 둘째치고, 첫째는 애를 낳고  기르고 싶은사람들의 고민을 덜어줘야 하지 않을까요?
먼저 난임 병원에 가면 비용이 너무 비쌉니다. 인공 수정, 시험관 이부분도 확률이 낮은데, 애타는 마음으로 부부들이 시도를하고 있지요, 그러나 그 아픔도 크지만, 돈도 많이 깨집니다. 
차다리 이런부분을 지원을 해서 낳고 싶은사람들이 조금이라도 위로가 될수 있도록 적극 지원하는게 더중요하다고 생각합니다. 난임 부부들이 너무 많습니다. 어르신들 복지를 줄이고 젊은 세대에게 지원 부탁드립니다.
그리고 대리모에 관한 부분인데 대리모를 해서라도 애를 낳고 싶어하는데, 이게 왜 불법이 되나요?
지금 시기에는 맞지 않다고 생각합니다. 부동산처럼 적절하게 합의하고 기준을 정해서 관리한다면 문제가 되지 않는다고 생각듭니다. 기사에서 봤습니다 어떤 노인 부부가 애를 하나 대리모했는데, 처벌받는다고 ... 그게 어떻게 보면 법위반이지만, 그법을 바꿔야하지 않을까요?(악법도 법이다라고 하여 따라야한다고 하지만 정말 악법이라면 바꿔야합니다.)</t>
  </si>
  <si>
    <t>1. 인공 수정 및 시험관 시술비용의 국가 지원
    : 노인에 드는 복지를 낮추고 젊은새대에게 지원률을 조금씩 올리자
2. 대리모의 합법화
    : 단 기준이 있어야 한다고 생각함. 체결하여 대리모를 할경우 애기에 대한 모든 책임을 그 대리모 요청자가 책임진다
      (기형아등으로 이를 계약해지등은 불가능 다만 현재 법률에 의한 낙태가 가능하다) 뭐이런부분들
     " 애기를 상업하한다는 개념이아니라, 기준을 적절하게 정하면, 문제가 없다고 봅니다.)
     _또한 위에서 언급했듯이, 지금은 우리나라의 존폐가 달린 문제입니다. 이것 저것 따져가면서 논하는 그럴 시기가 아니라고 
      봅니다.
3. 인성교육의 활성화
    -유치원/초등학생에서는 필수 과목으로 인성교육을 시키고, 가정방문에 의한 평가를 하도록 
    -위의 이유는 애들이 왕따라던지 힘들어서 자살하거나, 커서도 고통받습니다. 이건 나라에 국력손실이 아닐까요?</t>
  </si>
  <si>
    <t>1. 안녕하십니까? 귀하께서 국민신문고를 통해 신청하신 국민제안 중 보건복지부 소관 사항에 대하여 검토 후 다음과 같이 답변드립니다.
2. 귀하의 제안 요지는 '난임시술 지원 및 대리모 합법화'에 관한 것으로 이해됩니다.
3. 난임시술 지원(출산정책과)
  ○ 정부는 난임부부의 경제적 부담을 경감하고자 2006년부터 체외수정 시술비 지원을 시작으로 2017년 10월 난임시술(자궁내 정자주입 및 체외수정 시술)에 대한 국민건강보험 급여를 실시하여 소득수준에 상관없이 시술 비용을 지원하고 있습니다.
    - 난임시술 급여 보장 횟수 확대 및 연령 제한 폐지, 사실혼 부부 지원, 45세 미만 여성 본인부담률을 일괄 30%로 인하하는 등 난임부부 지원 정책을 지속적으로 확대하고 있습니다.
  ○ 건강보험의 보편적인 지원에 더하여 저소득층 및 일부 중산층에 대해 건강보험 본인부담금을 보충적으로 지원하기 위한 '난임부부 시술비 지원사업'을 시행하고 있습니다.
    - 참고로, 시술비 지원사업은 정부의 재정분권 추진에 따른 지방이양 결정으로 2022년 1월부터 지방자치단체가 추진하며, 소득기준 등을 완화하여 지원을 단계적으로 확대하고 있습니다.
  ○ 정부는 지난 2023년 5월에 난임을 이겨낸 다둥이 임산부들과 현장 소통을 추진하였고, 7월에 임신·출산 전 과정에 대한 지원대책을 포함한 「난임·다둥이 맞춤형 지원대책」을 발표*하고 추진 중에 있습니다.
    - 정부는 난임부부의 건강과 안전을 고려한 지원이 이루어질 수 있도록 지자체와 협력하여 다각적인 방안을 적극 검토해 나갈 것을 말씀드립니다.
    * 보건복지부 누리집 &gt; 보도자료(+) &gt; '난임' 검색
4. 대리모 합법화(생명윤리정책과)
  ○ 「생명윤리 및 안전에 관한 법률」에 대리모에 대한 명시적인 규정은 없으며 별도로 금지하고 있지 않습니다. 다만, 같은 법 제23조에 따르면 “누구든지 금전, 재산상의 이익 또는 그 밖의 반대급부(反對給付)를 조건으로 배아나 난자 또는 정자를 제공 또는 이용하거나 이를 유인하거나 알선하여서는 아니 된다”로 규정하고 있습니다.
○ 참고로 판례에 따르면 대리모를 위한 계약은 「민법」 제103조 '선량한 풍속, 기타 사회질서를 위반하는 반사회적 법률행위'에 근거하여 무효로 보고 있습니다.
5. 답변 내용에 대한 추가 설명이 필요한 경우 보건복지부 출산정책과(044-202-3396), 생명윤리정책과(044-202-2614)로 문의하시면 친절히 안내드리도록 하겠습니다.  끝.</t>
  </si>
  <si>
    <t>출산직 공무원</t>
  </si>
  <si>
    <t>저출산 문제
지방 소멸 문제
청년 실업 문제</t>
  </si>
  <si>
    <t>출산직 공무원 선발 제도 도입
-선발기준
학력 무관하게 신체, 정신 건강한 20~35세 이하 남녀 청년
-급여
선정 이후 자녀 한명당 양육 수당 월 100만원 
(자녀가 20살 될때까지, 자녀 수 제한 없음, 현행 아동 부모 수당과 별도 자급)
부모 겸직 가능
수도권 이외 지역 주거지 무료 임대 
(출산직 공무원 사망시까지)
-관리 
출산직 공무원은 연 몇차례 부모 교육 필수
아동학대 정황 포착시 자격 박탈</t>
  </si>
  <si>
    <t>청년 출산을 장려하여 저출산 해소
수도권 이외 지역에 정착 장려하여 지방 소멸 방지
겸직 가능하기에 청년층 경제적 자립도가 높아짐
출산과 양육을 직업화하여 청년 실업율 감소</t>
  </si>
  <si>
    <t>1. 안녕하십니까? 귀하께서 국민신문고를 통해 제안주신 사항에 대해 검토한 결과를 보건복지부 인구정책총괄과에서 안내드리겠습니다.
2. 귀하께서 제안주신 사항은 '출산만으로도 국가지원으로 생계를 유지할 수 있을 정도의 지원 확대를 하자'는 취지로 이해되며 정부의 저출산 지원 방향에 대해 다음과 같이 안내드립니다. 
 ο 정부는 '23.3.28. 대통령 주재 2023년 제1차 저출산·고령사회위원회에서 "결혼·출산·양육이 행복한 선택이 될 수 있는 사회환경 조성"을 목표로 저출산 정책과제를 선택과 집중하기 위한 추진 전략을 발표*(「윤석열 정부의 저출산 정책과제 및 추진방향」)한 바 있습니다.
      * (참고) 저출산고령사회위원회 홈페이지 &gt; 정책공간&gt; 안건자료
   - 동 대책에는 저출산 주요요인, 정책연관성 및 효과성, 체감도 등을 고려하여 5대 핵심분야(돌봄·교육, 일·육아병행, 주거, 양육비용지원, 건강)와 주요과제를 선택하여 우선 추진하기 위한 대책 방향을 제시한 바 있으며, 후속 대책 마련을 추진 중에 있습니다. 
3. 다만,'출산직 공무원'제도에 대해서는 국민적인 합의 및 인사혁신처, 행정안전부 등 관계부처와 협의 등이 필요하다고 판단됩니다. 저출산 정책에 관심을 갖고 소중한 제안을 해주심에 다시 한번 감사드리며, 정부는 체감도 높은 정책을 지속 발굴하고, 더불어 향후 정책을 수정·보완하는 과정에서 귀하의 민원 취지를 고려하도록 하겠습니다.
 4. 귀하의 가정이 평안하시기를 바라며, 추가적인 질문이 있으신 경우 보건복지콜센터(국번없이 1219)나 보건복지부 인구정책총괄과(044-202-3691)에서 안내드렸습니다. 감사합니다.  끝.</t>
  </si>
  <si>
    <t>출산장려를 위한 복지정책 건의(수정)</t>
  </si>
  <si>
    <t>결혼율과 출산율이 저조한 것에는 여러 이유가 있겠지만 장수시대 미래에 대한 불안감이 한몫하고 있다고 생각합니다
퇴직 후부터 긴시간 이어질 무수입 상태의 먹고살일이 걱정되고, 살곳에 대한 내집마련의 압박도 있으니 지출을 아끼게 되고 심리적으로도 불안하여 고지출이 예상되는 결혼과 자녀출산도 꺼려지게 되는거죠
현재 저출산 정책들은 거의 육아지원에 초점이 맞춰지고 있는데 이런 정책들은 이미 자녀를 키우는 분들한테나 의미가있지 미혼이나 자녀가 없는 분들에게 결혼이나 출산을 독려하는 효과는 없는것 같습니다
오히려 애키우는건 힘든일이라는 인식을 강조하는 효과가 있는것 같구요</t>
  </si>
  <si>
    <t>기본적인 의식주가 보장되는 실버타운 형식의 노인 복지시설을 마련하여 2자녀이상 자녀를 성인이 될때까지 양육한 무주택 노인분들을 입소기준으로 하고, 시설이용료는 노령연금을 갈음하는 방식으로 받아 운영하는 공공사업은 어떨까요?
즉, 2자녀이상 양육한 부모님들의 노후는 나라에서 책임진다는 컨셉의 정책이죠
얼핏보면 고비용에 무리한 정책같지만 정책설계에 따라 비용을 많이 줄일수 있습니다
왜냐하면, 단지조성이나 건물마련에 많은 비용이 드는건 사실이지만 유지비용은 이미 진행중인 노인연금이 인당30만원 정도니 부부기준으로 월 약60만원 정도의 기본비용은 추가지출이 아니고 모자라는 부분만 보조하는 거니까요
그리고 건물은 땅값+건축비인데 시설위치나 컨셉에 따라 비용이 많이 줄어듭니다
인구소멸지역이나 인구감소지역 등 인프라는 있지만 사람이 없거나 점점 없어지는 곳을 대상으로 하면 땅값이 저렴하기도 하고 기존시설을 재활용하거나 리모델링하는 식으로 건축비욤도 줄일수도 있습니다
거기다 일종의 지역살리기 사업을 겸하니까 단일사업이 아니게 되어 지역 지자체나 기업참여로 재정부담도 적어지죠
지역살리기에 도움이 되는 이유는 의식주만 지원이니 취미활동이나 외식, 기타비용은 개인에 따라 기존자산, 국민연금, 개인연금, 자녀가 주는 용돈 등 각자 상황에 맞게 소비하니까요
입소하시는 분들 나이로 봤을때 무주택만 조건에 넣고 따로 재산기준이 없으면 있던집 팔고 입소하시는 분들도 있을테고 그게 아니라도 금융자산은 꽤 있을것으로 예상되거든요
사실 다들 아시겠지만 지원하는 꼭 필요한 식비나 생필품은 실제 가계지출에서 비용이 크지 않습니다
개인 생활패턴에 따라 편차가 있겠지만 외식, 취미활동, 생필품 외 물건구입 등에서 소비하는 부분이 훨씬 크죠
또, 이분들은 자녀가 둘이상 있는 분들입니다
자녀들이 부모님 뵈러 놀러오거나 유동적인 직업을 가진분들은 부모님 계신 근처로 이사를 올수도 있죠
정책대상과 정책시기도 여유가 꽤 있습니다
정첵을 바로 시작한다해도 정책취지를 출산장려로 보면 자녀가 미성년자가 아닌 이미 양육을 끝낸 분들은 해당사항이 없고 앞으로 출산하는 가정이나, 현재 미성년자인 자녀를 2자녀이상 양육하는 분들이 대상이 되는데 이분들 수가 그렇게 많지도 않고 또, 이분들이 양육이 끝나고 65세이상 노인이 되었을때 입소기준에 충족하니 꽤 오랜 준비시간을 가질 수 있습니다
마지막으로 국민연금 퇴직연금 등과 결합하여 재정을 마련하는 방법도 생각해 볼수 있을것 같습니다</t>
  </si>
  <si>
    <t>[2자녀이상 양육한 부모님들의 노후는 나라에서 책임진다]
프레임이 좋으니까 현실적인 선안에서 적당히 퀄리티 뽑고 포장만 잘하면 결혼 및 출산 동기부여가 되어 저출산 해소에 어느정도  도움이 되리라고 봅니다
입소기준이 무주택이니 노인인구가 점점 늘어나는 이분들의 도시에서의 주택수요 감소로 인한 집값안정에도 도움이 될거구요
사업규모가 크면 클수록 소멸할 지역을 되살리는 역활과 인구분산, 지방개발 등 세부적인 정책설계에 따라 꽤 많은 부수효과가 있을것으로 기대합니다
마지막으로 정책자체가 이미 일정부분 노인복지 효과를 겸하고 있구요</t>
  </si>
  <si>
    <t>1. 안녕하십니까? 귀하의 국민제안(1AB-2401-0006715)에 대하여 다음과 같이 답변드리고자 합니다.
2. 귀하의 제안은 '자녀양육 노인에대한 노인복지주택 입소 확대'로 이해됩니다.
3. 좋은 제안 감사드리며, 향후 실버타운 발전방향을 모색함에 있어 면밀히 검토해보겠습니다. 기타 문의사항 발생 시 보건복지상담센터(129) 또는 노인정책과(044-202-3453)으로 문의하여 주시기 바랍니다. 감사합니다.  끝.</t>
  </si>
  <si>
    <t>출산 기여 연금제 제도 도입</t>
  </si>
  <si>
    <t>.국가의 구성 3요소는 국토, 국민 주권이다. 그런데 현재 우리나라의 실정은 세계에서도 가장 빨리 인구가 소멸될 수 있는 국가로 거론되는데 이는 매우 심각히 받아 들여야 할 문제라고 여겨진다. 특히 국정을 책임지는 정부나 국회에서 근본적인 대책을 마련하지 않으면 안되는 심각한 시기에 도달했다는 위기의식을 느끼지 못하고 있기 때문이라고 여겨진다.
현재 국가에서 출산을 하게 되면 다양한 지원책으로 출산을 장려하고 있다. 
국가 차원에서는 국민으로써 출산 했을때와 출산하지 않았을 때의 차별을 느끼지 못하기 때문에 근본적인 문제의 해결이 안된다고 여겨진다.
출산정책에 대한 근본적인 해결점을 찾아야 할 때라고 여겨진다.</t>
  </si>
  <si>
    <t>먼저 자녀를 출산하게 되면 다양한 지원책이 뒤따르지만 일시적이고 한시적인 지원에 그치고 있다고 여겨진다.
현재 국가에서는 출산을 하게되면 국민연금과 연계하여 일정액의 지원 인센티브를 적용하고 있는 것으로 알고 있는데 이는 언발에 오줌눕기에 불가하다고 여겨진다.
출산후 자녀가 성년까지 지원하는 방향으로 전개되지만 자녀를 많이 낳을수록 출산한 부모가 걱정이 배가되지 않고 많은 자녀를 출산을 하면 할수록 기쁨이 배가 되고 노후가 안락하게 보낼 수 있도록 하는 정책이 필요하다고 여겨진다.
사람은 누구나 늙는다. 그런데 자녀를 많이 출생한 부모가 자녀를 출생하지 않는 가정보다 노후를 풍족하게 국가가 책임을 진다면 자녀의 출생으로 다복한 가정의 행복뿐 만 아니라 경제적인 여유로 노년을 행복하고 보낸다면 출생한 자녀도 부모 봉양을 위한 부담감도 사라지고 보모 또한 자녀에게 의지하는 모순을 제거할 수 있을 것으로 여겨진다. 이를 위해 자녀를 출생한 부모에게 국가에서 국가의 존치에 기여한 공로 별도의 [출산기여 연금 제도]의 시행을 조속히 마련하여 시행하여야 한다. 물론 복잡하고 많은 예산이 소요되는 정책이지만 국가의 존망보다 중차대한 사안은 없지 않을까 여겨진다. 이를 시행하기 위해서 현재 국민연금과 연계 운영되는 제도를 개선 별도의 연금제도로 운영하고 출생 자녀수가 많은수록 연금 지급액도 획기적으로 상향시켜 모든 국민들의 연금이 지급하는 시기 (예) 65세부터 지급하고 지급기간도 자녀가 태어난 후 성년이 되는 20세에 해당되는 20년간 지급기간을 정하는등 구체적인 사안에 대해서는 많은 전문가와 국민들의 의견을 공청회 등을 통해 수렴하여 대책을 조속히 마련해야 한다고 여겨진다.</t>
  </si>
  <si>
    <t>1. 안녕하십니까. 귀하께서 국민신문고를 통해 신청해 주신 제안(1AB-2401-0006671)에 대하여 다음과 같이 안내드립니다. 
2. 귀하의 제안 내용은 ‘자녀 수에 따른 연금 지급액 조정’으로 이해되며, 검토의견은 다음과 같습니다.
  가. 귀하의 제안과 같이 국민연금에서는 출산이라는 사회적으로 가치 있는 행위에 대하여 보상하고 노후소득보장을 실현하고자 하는 취지에서 ‘출산크레딧’ 제도를 운영하고 있습니다.
  나. 자녀의 수가 2명 이상이 되는 경우 국민연금의 노령연금 수급권을 취득한 때 자녀 수에 따라 국민연금 가입기간을 최대 50개월까지 추가로 산입하고 있습니다.
      * 예를 들어, 10년간 보험료를 납부하고 출산크레딧 대상 자녀가 2명인 경우 12개월의 가입기간을 추가 산입하여 132개월을 기준으로 노령연금액을 산정
  다. 아울러, 귀하의 제안 취지와 같이 저출산, 고령화 대책 마련의 필요성에 공감하고 있으며, 앞으로도 관련 제도 개선을 지속적으로 검토 예정임을 알려드립니다.
3. 국민연금제도에 관한 소중한 의견 감사드리며, 추가 문의사항은 국민연금공단 콜센터(☎국번 없이 1355) 및 보건복지상담센터(☎129) 또는 연금급여팀(☎044-202-3638)으로 문의주시면 성실히 답변드리겠습니다. 감사합니다.  끝.</t>
  </si>
  <si>
    <t>출산 양육비 지원 개선</t>
  </si>
  <si>
    <t>1.귀 부의 무궁한 발전을 기원합니다.
2.우리나라의 출산.양육을 위한 사회 환경 조성 노력에 감사를 드립니다.
3.그러나 귀 부처 소관 업무의 모자 보건 지원 사업. 임산 출산 지원 분야 중 저소득층 기저귀 조제 분유 지원 분야는 출산 모의 차별을 주는 제도로서 국가 정책인 출산 장려 정책과는 역행 되는 것으로 보여집니다. 
4.따라서 출산하는 산모에 대한 저소득 고소득으로 구분하는 제도는 바랍직하지아니하다고 생각됩니다</t>
  </si>
  <si>
    <t>위 모자 보건 지원 사업 임산출산지원분야중 저소득층 기저귀 조제분유지원분야는 소득 계층을 구분하여 차등 지원하지 아니하고 모든 산모에게 지원될 수 있도록 제도 개선이 시급하다고  사료 됩니다.</t>
  </si>
  <si>
    <t>출산 모의 사기에 도움을 줌으로써 국민의 눈높이에 맞는 정책이 될 것입니다.</t>
  </si>
  <si>
    <t>1. 귀하께서 국민신문고 국민제안을 통해 신청하신 제안(신청번호 1AB-2401-0005564)에 대하여 회신드립니다. 
2. 귀하의 제안내용은  '기저귀 지원사업의 대상자 선정기준 확대'로 이해되며, 이에 대하여 답변드립니다.
○ 우리 부는 저소득층 영아 가정(0~24개월)의 경제적 부담 경감을 위해 일정소득 기준 이하 가구* 대상으로 육아 필수재인 기저귀·조제분유의 구매비용을 지원하고 있습니다.
   * 지원대상 : 기초생활보장수급자, 차상위계층, 한부모가족 수급 가구, 기준중위소득 80% 이하의 장애인 또는 다자녀(2인 이상)가구 
 ○ 한정된 예산 범위 내에서 지원의 타당성·우선순위 등에 따라 지원대상 범위를 정하고 있는 점 양해하여 주시기 바라며, 대상자를 확대해 나갈 수 있도록 지속적으로 노력하겠습니다.   
  3. 정부의 출산정책 등에 대한 귀하의 관심과 제언에 감사드리며 답변내용에 추가 문의사항이 있는 경우 보건복지부 출산정책과(☎ 044-202-3392)로 연락주시면 성실히 답변드리겠습니다. 감사합니다. 끝.</t>
  </si>
  <si>
    <t>저출산문제점 개선방안</t>
  </si>
  <si>
    <t>안녕하세요 남양주시 거주하는 40대 남성입니다.저는 난임으로 난임병원을 다니고 있습니다.우리나라 저출산 문제로 사회적 이슈로 되고 있으나 현실은 저희 부부처럼 난임병원에 가보면 대기시간은 1시간 이상씩 생각하면 됩니다 병원에 근본적인 문제보다는 의료진 부족과 지자체 보건소나 난임관련 프로그램이 있으면 좋겠습니다 저출산이 현실적인 경제적 부분이나 출산을 지향하지 않는 사회적 흐름도 있지만 저희 난임부부처럼 간절하게 아이를 원해서 난임병원을 다니고 있지만 병원은 의료진 부족으로 예약을해도 1시간이상씩 기다리는건 다반사입니다 정말 정부에서 저출산 문제를 해결하고자 한다면 난임병원 개선을 한다면 난임부부들 큰도움이 될거며 저출산 문제에 도움이 될것 같습니다</t>
  </si>
  <si>
    <t>난임병원 의료진을 더욱 늘리고  정부차원 개인난임병원이 아닌 정부나 지자체에서 늘어났으면 하는 바램이고 난임극복 프로그램이 많아 졌으면 합니다</t>
  </si>
  <si>
    <t>난임부부들에게 좋은 방법이 나타나면 출산효과에 기대를 합니다</t>
  </si>
  <si>
    <t>1. 안녕하십니까? 귀하께서 국민제안을 통해 신청하신 제안에 대하여 검토 후 다음과 같이 답변드립니다.
2. 귀하의 제안 요지는 '난임시술 의료기관 확대'에 관한 것으로 이해됩니다.
3. 난임시술 의료기관이란, 「모자보건법 시행규칙」 제8조 및 별표2에 따른 시설·장비 및 전문인력 등을 갖추고 난임시술 중 자궁내 정자주입 시술과 체외수정 시술이 가능한 의료기관으로 구분하여 지정되었음을 뜻하며, 2023년 12월 기준 총 271개 난임시술 의료기관(자궁내 정자주입[인공수정] 271개소, 체외수정 152개소)이 지정되어 있습니다.
  - 건강보험심사평가원 누리집(www.hira.or.kr) &gt; 우리지역 좋은병원찾기 &gt; 난임시술 &gt; 검색에서도 확인하실 수 있습니다.
4. 또한 보건복지부는 시술기관의 자율적 질 관리 참여을 유도하고 책임성 강화와 국민의 선택권을 보장하기 위해 난임시술 의료기관 평가 및 통계관리를 실시하고 있습니다.
  - 2019년 1차 평가를 시작으로 2022년 2차 평가를 완료하였으며, 이에 대하여 건강보험심사평가원 누리집에 평가 결과를 공개하고 있습니다.
5. 다만, 전국 난임시술 의료기관 271개소 중 132개소가 수도권에 집중되어 있고, 대기시간 등 귀하께서 겪으신 어려움은 향후 정책 개선 시 참고하겠습니다.
6. 답변 내용에 대한 추가 설명이 필요한 경우 보건복지부 출산정책과(044-202-3396)로 문의하시면 친절히 안내드리도록 하겠습니다.  끝.</t>
  </si>
  <si>
    <t>과거 출산제한을 정부에서 권장할때는 예비군 훈련때 정관수술을 하면 바로 귀가 시키고, TV방송이나 언론에서 "하나만 낳아서 잘 키우자"는 등의 표어를 유포하였느대, 지금은 다자녀 권장, 미혼 남.여 권혼 돌려 정책을 시행라고 있다. 그런데 방송에서 다자녀 권장 표어를 방송하는 것을 보지 못했고,, "나 홀로 산다"는 오락 TV 드라마 방송을 꺼리낌 없이 하고 있음으로 , 이에 대응하여 다자녀 가구의 잘사는 모습의 드라마 제작, 공모와 다자녀 갇기 표어 공모. 방송 등을 하여야 한다</t>
  </si>
  <si>
    <t>저출산 대응 방법으로 , 3자녀 이상 다자녀를 둔 세대에는 1억원을 지급한다는 정책을 내 놓은 정당이 있는대, 이런 정책 보다는 다자녀를 선호하는 사회 풍토와 여건을 만드는 것이 더 낳을 것이다. 유아원이나 유치원을 무상으로 다닐 수 있도록 , 정부운영 유아원.유치원을 건립하거나 , 민간 유아원.유치원에 보조금을 지급하고 가정에선 유아원.유치원 비용 부담을 없게 한다든지, 다자녀갇기 운동.권장의 일환으로, 드라마, 연속극, 표어를 공모하여 대국민홍보를 하는 것도 시도해봄직하다. 
또한, 시골. 농.어촌.산촌에 인구절벽현상과 저출산 대책으로 농.어촌.산간지방에서 생활하는 모든 가구에 최저생활비를 지급함으로, 인구절벽현상과 저출산을 막을 수 있을 것이다. 
이를 지원하는 재원으로 국가균형발전과 저출산 대책세를 재산세와 소득세의 10%를 부과하도록 한다.</t>
  </si>
  <si>
    <t>저출산 대응 방법으로 , 3자녀 이상 다자녀를 둔 세대에는 1억원을 지급한다는 정책을 내 놓은 정당이 있는대, 이런 정책 보다는 다자녀를 선호하는 사회 풍토와 여건을 만드는 것이 더 낳을 것이다. 유아원이나 유치원을 무상으로 다닐 수 있도록 , 정부운영 유아원.유치원을 건립하거나 , 민간 유아원.유치원에 보조금을 지급하고 가정에선 유아원.유치원 비용 부담을 없게 한다든지, 다자녀갇기 운동.권장의 일환으로, 드라마, 연속극, 표어를 공모하여 대국민홍보를 하는 것도 시도해봄직하다. 
또한, 시골. 농.어촌.산촌에 인구절벽현상과 저출산 대책으로 농.어촌.산간지방에서 생활하는 모든 가구에 최저생활비를 지급함으로, 인구절벽현상과 저출산을 막을 수 있을 것이다. 
이를 지원하는 재원으로 국가균형발전과 저출산 대책세를 재산세와 소득세의 10%를 부과하도록 한다. 
이렇게 되면 국가균형발전은 물론 저출산 문제도 해결될 것이다.</t>
  </si>
  <si>
    <t>1. 안녕하십니까? 보건복지부 인구정책총괄과입니다. 귀하께서 국민신문고를 통해 건의해주신 내용에 대한 검토 결과를 다음과 같이 알려드립니다.
2. 먼저 인구정책에 관심을 가지고 의견 주신 점에 대해 깊은 감사 말씀드립니다. 귀하께서는 저출산 문제를 해결하기 위하여 다자녀 갖기 운동의 일환으로 드라마, 연속극, 표어 공모를 통한 대국민 홍보 활동을 건의하신 것으로 이해됩니다. 
ο 저출산 문제의 해법을 모색하기 위하여 국민 참여 노력이 필요하다는 귀하의 의견은 검토해볼 필요가 있을 것입니다. 
 - 정부에서는‘함께하는 육아 문화’조성을 위해 정부·기업·가정이 해야 할 역할 등을 상징적으로 담기 위한 포스터 공모전을 개최하여 국민 참여 및 홍보를 진행한 바 있습니다. 
 - 앞으로 제안하신 내용을 반영하여 출산에 대한 인식을 개선하고 전국민이 참여하여 저출산 문제를 해결할 수 있는 방안을 검토하도록 하겠습니다. 
 ο 아울러, 정부에서는 출산과 양육에 대한 인식 변화와 가족 친화적인 사회 분위기 조성을 위하여 정책 홍보와 인식 개선을 목표로 하는 영상을 활용하여 온라인 광고, TV, 옥외 광고 등을 진행한 바 있으며, 올해도 방송 매체를 활용한 홍보를 계획 중에 있습니다. 
3. 귀하의 제안 가운데, '국공립 어린이집 증설'에 대해서는 보육정책과에서 다음과 같이 안내드립니다.
 ο 저출산 극복을 위해 영유아 양육의 사회적 책임을 강화해야한다는 귀하의 말씀 취지에 공감하는 바이며, 정부는 제4차 중장기보육기본계획 등에 따라 공공보육인프라 확대, 양육 부담 완화 등의 정책을 수립하였습니다.
  - 이를 위해 정부는 매년 국공립어린이집 500개소 이상 확충 목표를 세우고, 신축·매입·리모델링·장기임차 등 다양한 사업 방식을 통해 지역 여건에 맞는 국공립어린이집 설치를 지원해나가고 있습니다.
 ο 공공보육 시설의 지속적인 확충 및 보육서비스 품질의 제고를 통해 양육의 사회적책임 강화가 이루어질 수 있도록 앞으로도 노력하겠습니다
5. 정부는 정책을 만들고 실천함에 있어서 국민의 의견을 충분히 반영할 수 있도록 더욱 노력하겠습니다. 아울러 보다 나은 정책을 만들기 위해 국민들과 지속적으로 소통하며 고민하겠습니다. 인구 정책에 관한 소중한 의견 주셔서 감사드리며, 기타 문의사항이 있으신 경우 보건복지부 인구정책총괄과(044-202-3373) 또는 보건복지부 콜센터(국번없이 129)로 연락주시면 안내드리겠습니다. 감사합니다. 끝.</t>
  </si>
  <si>
    <t>출산정책은 돌봄/보육기관의 인프라 개선 (도우미 인력 증원, 돌봄시간 확대 등)이 선행되어야 합니다.</t>
  </si>
  <si>
    <t>현황 및 문제점:
현시점의 출산 보조 정책은 지원비 확대에 집중됨</t>
  </si>
  <si>
    <t>개선방안: 
돌봄 기관/보육 기관의 인프라의 개선
예) 선생님 증원, 도우미 인력 증원, 돌봄 시간 확대
(그래야 비로소 아이를 맡기고 일을 할 수가 있음.
애를 맡길 곳도, 맡길 사람도 없는데 보조금만 준다고 능사가 아님.
보조금 확대는 관련 기관의 가격인상으로 직결될 뿐 실제적으로 부모 입장에선 그 유익이 체감되지 않음.
기왕 국가에서 출산보조 정책으로 예산을 소비할거라면 몇 회성으로 끝나는 보조금 확대가 아니라 인프라 개선에 힘 쓰길 바람.)</t>
  </si>
  <si>
    <t>1. 기관 인력보충으로 인한 취업 기회 확대
2. 부모의 경력단절 감소, 특히 여성의 경력단절 감소
3. 도우미(선생님) 1명당 돌봄 대상 명수 축소 -&gt; 돌봄 대상 집중도 상승</t>
  </si>
  <si>
    <t>1. 안녕하십니까? 귀하께서 국민신문고를 통해 보건복지부 업무와 관련하여 신청하신 제안(1AB-2401-0008803)에 대해 안내드립니다.
2. 귀하의 제안내용은 ‘어린이집 보육인력 지원 및 돌봄시간 확대’로 이해되며, 검토 의견은 다음과 같습니다.
 ○ 현재, 어린이집 담임교사의 업무 경감 및 장시간 보육이 필요한 영유아에게 필요한 보육서비스를 제공하고자 보육지원체계가 개편('20.3월 시행)되었으며, 이에 따라 보육시간을 기본보육(9시~16시)과 연장보육(16시~19시30분)으로 구분하여 운영하며, 각 보육시간에는 별도의 교사를 배치하고 있습니다.
○ 또한, 부모의 맞벌이 등을 이유로 보육이 필요한 영유아를 위해 기준보육시간(07:30~19:30)을 경과하여 최대 24:00까지 보육하는 야간연장보육 및 24시간(07:30~익일 07:30) 보육을 실시하고 있음을 알려드립니다.
 ○ 반별 정원기준은 「영유아보육법」 시행규칙 제10조 별표2에 따른 사항이므로, 해당 기준을 변경하는 것은 법령 개정이 필요할 뿐만 아니라 예산당국과의 협의 또한 필요한 사항으로, 신중한 검토가 필요할 것으로 보입니다.
 ○ 더불어, 우리 부에서는 보육교직원 자격기준 강화, 보조교사 및 대체교사 지원을 통한 보육교사 근로여건 개선, 보육교사의 인성함양 및 직무 스트레스 해소 지원을 위한 다양한 교육 및 상담사업을 운영하는 등 보육서비스 품질 향상과 보육교사 처우개선을 위해 다양한 정책을 추진하고 있습니다.
 ○ 앞으로도 우리 부는 영유아의 안전 및 보육교사의 근무환경 개선 등 보육의 질 제고를 위해 현장의 의견을 검토하고, 귀하의 제안은 향후 보육정책 수립에 소중한 참고자료로 활용하겠습니다.
3. 제도 개선을 위한 귀하의 제안에 감사드리며, 추가 문의 사항이 있으실 경우 보건복지콜센터(국번없이 129) 또는 보육교사 처우개선 지원은 보육정책과(최수연, 044-202-3554), 어린이집 운영시간 및 교사대 아동비율은 보육기반과(류새봄, 044-202-3582)로 연락주시면 친절히 안내해드리도록 하겠습니다. 감사합니다.  끝.</t>
  </si>
  <si>
    <t>출산시 산모의 산후조리원에 대한 제안</t>
  </si>
  <si>
    <t>현재 정부에서는 저출산대책으로 각종 제도와 지원를 지속적으로 마련하고있습니다.
하지만 그런 제도에 반하는 사례가있어 제안을 드립니다.
출산시 산후조리원은 필수라고 할수는없지만
출산한 산모의 대부분이 산후조리원을 이용하고있습니다.
산후조리원에 대한 비용이 적지않기때문에
정부지원금으로 이용하는 산모이 대다수입니다.
(예. 첫만남이용권 등)
이번 다양한 출산제도로 지원금이 많아졌으나
이를 악용하여 오른 지원금만큼 산후조리원비용을 올리고있어 지원금의 의미가 퇴색되고있으며
개선된 각종 제도가 실제 신혼부부 및 산모들에게 와닿지않습니다.</t>
  </si>
  <si>
    <t>개선방안 
1. 지금 지원되고있는 신생아지원금 일부를 산후조리원에 쓸수있는 지원금 명목으로별도 마련 
2. 산후조리원의 비용 단일화
3. 산후조리원의 인상비율검토하여 지원금이 악용되지않도록 단속 
4. 산후조리원에 직접 정부지원을하여 인상되지않도록 지원</t>
  </si>
  <si>
    <t>신혼부부, 산모들의 비용에 대한 부담이 적어질것이며
각종 지원금을 악용하는 잘못된 행태에 대한 제재효과</t>
  </si>
  <si>
    <t>1. 안녕하십니까? 귀하께서 국민신문고를 통해 신청하신 제안(1AB-2402-0001418)에 대하여 회신 드립니다.
2. 귀하께서는 첫만남이용권 일부 산후조리원 비용으로 사용처 제한, 산후조리원 비용통제 및 산후조리원에 대한 정부지원에 대하여 제안하신 것으로 이해되며 아래와 같이 답변을 드립니다.
 ○ 정부는 '함께 일하고 함께 돌보는 사회 구축'을 위해 「제4차 저출산고령사회 기본계획」을 수립·발표('20.12월)하였으며, 향후 5년간 추진할 중장기 계획의 핵심사업으로 출생·육아에 따른 경제적 부담 경감을 위해 첫만남이용권 사업을 시행하고 있습니다. 다자녀가구의 출생, 양육비용 부담 경감을 위하여 '24년 부터 둘째아 이상 자녀에게 첫만남이용권 지원금액을 300만원 증액하는 내용을 발표하였습니다.
 ○ 귀하께서 제안하신 바와 같이 첫만남이용권의 일부를 산후조리원에 쓸 수 있도록 하는 것은 다양한 업종에서 사용할 수 있는 첫만남이용권의 사용처를 제한하는 것으로 다양한 양육비용을 경감하기 위한 첫만남이용권의 취지에 맞지 않습니다.
 ○ 또한 민간 또는 지방자치단체에서 운영중인 산후조리원에 대해 정부의 비용통제 및 산후조리원에 대한 지원은 적절치 않음을 알려드립니다.
3. 답변 내용에 대한 추가 문의사항이 있으신 경우 보건복지부 보건복지콜센터(국번없이 ☎ 129) 또는 출산정책과(☎ 044-202-3398)로 연락주시면 성실히 답변 드리겠습니다. 감사합니다.  끝.</t>
  </si>
  <si>
    <t>출산 관련</t>
  </si>
  <si>
    <t>정관복원수술 답변을 받았는데요. 정관복원 수술비용에 20% 금액을 내는 게 아니라 무료로 해줘야 그나마 정관복원수술 대해서 생각하는 사람이 생겨납니다.
20프로에 대한 금액이 60만원에서 150만원 입니다.
그 정도 금액이면 부담이 가지 않을까요? 1명~2명의 자녀를 출산을 하고 더 이상 안 낳으려고 정관수술을 받은 사람이 많은 걸로 알고 있습니다. 애를 키우다 보면
한명더 낳고 싶어 병원에 문의 하다가 금액보고 포기하는 분들이 많아 질듯 해서 다시 한번 문의 드려요. 서민이 위금액은 부담이 큼니다.
다시한번 설문조사을 통해 문제점 해결 부탁 드려요.</t>
  </si>
  <si>
    <t>정관복원수술 무료 및 수술할수 있는병원 공시</t>
  </si>
  <si>
    <t>인구수 증가</t>
  </si>
  <si>
    <t>1. 안녕하십니까? 귀하께서 국민신문고를 통해 신청하신 제안은 이전 제안(1AB-2401-0000117)에 대한 추가 제안으로 같이 답변을 드리겠습니다. 
2. 귀하의 제안 내용은 “정관복원술 요양급여 적용(무료) 등”에 대한 것으로 이해됩니다.
3. 건강보험은 가입자인 국민이 부담하는 보험료와 국고지원액을 재원으로 국민들의 질병·부상 등에 대해 보험급여를 실시함으로써 국민보건 향상 및 사회보장의 증진을 목적으로 하는 제도로서 한정된 재원으로 최적의 보험급여를 제공하고자 의학적 타당성과 급여의 적정성, 경제성 등을 고려해 건강보험의 적용을 받는 급여내용을 정하여 운영하고 있습니다.
 - 참고로, 현재 건강보험 내 특정 검사, 수술, 시술 등에 있어 본인부담률 차등, 급여기준 등을 설정하고 있거나 비급여 진료가 일부 존재하는 부분은 난임 등 관련 진료 시에만 해당하는 것은 아니며, 암이나 희귀난치질환과 같은 증증질환에 이르기까지 유사한 취지로 운영하고 있습니다. 
4. 아울러, 건강보험은 국민께서 내어주신 소중한 보험료라는 한정된 재원으로 국민에게 보험급여를 효과적·효율적으로 지급해야 하는 함에 따라 향후 건강보험 재정투입의 정당성 등에 대한 사회적 합의 등에 따라 환자의 부담을 완화할 수 있도록 귀하의 의견은 관련 정책 추진시 참고하겠습니다.
5. 참고로, 보건복지부에서는 의료기관별로 관련 진료행위에 대하여 관리하고 있지 않음을 안내해 드리니 참고하여 주시기 바랍니다. 
6. 귀하의 제안 내용에 실질적인 도움을 드리지 못해 안타까운 마음을 전합니다. 감사합니다.  끝.</t>
  </si>
  <si>
    <t>저출산대책 해결방안제안</t>
  </si>
  <si>
    <t>현재 저출산에대해 여러가지 문제가 있는데 
그중 복지에만 신경쓰는 모습이 현실과 동떨어져있고 
일반 서민의 삶속에서 아기를 안갖는 이유에대해 더 
알려드리고자 함 .</t>
  </si>
  <si>
    <t>1. 둘째부터 아기 성별  선택 가능 합법화
- 저는 15년동안 승무원으로 일했고 지금은 아들 두마리를 키우며 주부로 지내고 있어요 . 
그동안 사회생활을 통해  (승무원직업의 특성상 매 비행때마다 10명 ~20명의 새로운 승무원들과 처음 만나 일하고 사귑니다.한달에 비행을 다섯번만 한다고 해도 결혼 적령기 또는 결혼한 여성을 많이 접하겠지요? ) 
나름 많은 사람들을 만났고 많은 사람들과 이야기 했다고 생각합니다. 
젊은 사람들이 아기를 안낳겠다고 하는 돈 때문이라기 보다  그냥 누군가를 책임지는 삶 본인의 삶을 더 즐기고 싶어서 안낳는 이유가 생각보다 큽니다. 
아기를 키우면 희생해야하고 내 삶은 없어지는게 현실이니까요. 
그러나 아이를한번 두번 낳은 사람들은 오히려 아기를 
더 낳고 싶어하는 경우가 많습니다.  나는 희생하는 삶을 살더라도 아기가 주는 행복이 
그 어떤 것보다도 크다는 걸 알기 때문 이겠죠 .  
그럼에도 불구하고 피임을 해가며 아기를 안갖는 이유는 
바로 성별 때문 입니다.  
둘째가 아들이라면 하나 더 낳겠다 셋째가 딸이라면 
하나 더 낳겠다라고 하는 사람들이  정말로 많아요 . 
아들이 또 나올까봐 애를 더이상 안낳는 사람들도 있구요
아기를 낳으면 나라에서 돈도 나오는데 
성별을 고를 수 있다면 많은 애 엄마들의 마음이 
움질일 것 같아요. 
제 주변만 해도 여러면 있으니까요.
실제로 제 친구중 한명은  딸둘낳고 아들을 갖기위해 
미국에 가서 합법 적으로 2천만원 주고 아들을 시험관 해 왔습니다. 
성별 선택 시험관을 합법화 한다면 전국적으로 
얼마나 큰 아기낳기의 붐이 될수 있을까  제안해봅니다.
(너무 비싸지 않게 ㅠ)</t>
  </si>
  <si>
    <t>아기 성별을 고르므로써 
엄마들의  둘째 셋째 안낳는 이유, 고민을 해결해 
출산을 장려할 수 있다.</t>
  </si>
  <si>
    <t>1. 안녕하십니까? 귀하께서 국민신문고를 통해 신청하신 국민제안(신청번호 1AB-2402-0000185)에 대한 검토 결과를 다음과 같이 알려드립니다.
2. 귀하의 제안 내용에 대해 검토한 의견은 다음과 같습니다.
○ 「생명윤리 및 안전에 관한 법률」 제23조제2항제1호에 따르면 누구든지 배아를 생성할 때 특정의 성을 선택할 목적으로 난자와 정자를 선별하여 수정시키는 행위는 금지되어 있습니다. 또한 법 제50조제2항에 따라 배아 또는 태아를 대상으로 한 유전자검사는 유전질환을 진단하기 위한 목적으로 제한하고 있습니다.
○ 즉, 특정 목적을 위한 배아의 선택은 선택받지 못한 배아의 폐기를 수반하는 등의 윤리적 쟁점이 있어, 의료적 목적으로 유전질환의 진단을 위하여 제한적으로 허용되고 있습니다. 귀하께서 제안하신 취지에는 공감하는 바이나, 비의료적 목적의 배아 선택에 대한 허용은 폭넓은 사회적 공감대 형성 등을 통해 신중한 검토가 필요할 것으로 판단됩니다.
3. 기타 보다 자세한 내용이 알고 싶으시다면 보건복지콜센터(129번) 혹은 보건복지부 생명윤리정책과(담당자 044-202-2614)로 문의하시기 바랍니다. 늘 건강하시고 평안하시길 바랍니다. 감사합니다.  끝.</t>
  </si>
  <si>
    <t>높은 교육수준, 육아비, 사교육비, 독신주의 등으로 인한 저출산</t>
  </si>
  <si>
    <t>1.출산 장려 캠페인 보다 유명 연애인이 출현하는 특별 드라마를 제작하여 결혼, 출산,육아 등의 아름다운 이야기를 방송하여 의식변화.
2.출산 장려용 드라마라는 인식을 하지 못하도록 비공개 드라마 제작비 지원
3.시청율에 따른 가산점 특별히 부과</t>
  </si>
  <si>
    <t>가정을 이루고 출산과 육아, 자녀교육에 대한 두려움을 세심하고 아름다운 드라마를 통해 극복하고 가정을 꾸리고 싶은 마음을 고취</t>
  </si>
  <si>
    <t>1. 안녕하십니까? 보건복지부 인구정책총괄과입니다. 귀하께서 국민제안을 통해 건의해주신 내용에 대한 검토 결과를 다음과 같이 알려드립니다.
2. 먼저 인구정책에 관심을 가지고 의견 주신 점에 대해 깊은 감사 말씀드립니다. 귀하께서는 저출산 문제 해결을 위하여 유명 연예인이 출연하는 결혼, 출산, 육아 등을 아름답게 다루는 드라마 제작을 제안하신 것으로 이해됩니다. 
3. 정부에서는 저출산을 비롯한 인구 문제를 알리고 출산과 양육에 대한 인식 변화와 가족 친화적인 사회 분위기 조성을 위하여 정책 홍보와 인식 개선을 목표로 하는 영상을 활용하여 온라인 광고, TV, 옥외 광고 등을 진행한 바 있으며, 올해도 방송 매체를 활용한 홍보를 계획 중에 있습니다. 
   - 앞으로 건의하신 내용을 반영하여 저출산 문제 해결을 위해 다양한 문화 콘텐츠 제작을 통한 출산과 양육에 긍정적인 사회문화적 분위기 조성 방안을 검토하도록 하겠습니다. 
4. 정부는 정책을 만들고 실천함에 있어서 국민의 의견을 충분히 반영할 수 있도록 더욱 노력하겠습니다. 아울러 보다 나은 정책을 만들기 위해 국민들과 지속적으로 소통하며 고민하겠습니다. 인구 정책에 관한 소중한 의견 주셔서 감사드리며, 기타 문의사항이 있으신 경우 보건복지부 인구정책총괄과(044-202-3373) 또는 보건복지부 콜센터(국번없이 129)로 연락주시면 안내드리겠습니다. 감사합니다.  끝.</t>
  </si>
  <si>
    <t>저출산 해결방안 - 출산축하금 지원</t>
  </si>
  <si>
    <t>지금까지 300조 이상을 집행하고도 저출산 문제를 해결하지 못하고 있는데 이는 현재 출산장려를 위해 지원되고 있는 각 사항들이 나에게 크게 다가오지않고있고 또한 각 부문별로 어떤 것들이 있는지도 모르기 때문에 아이를 낳아 기른다는게 내 소득을 생각할 때 감히 엄두가 나지않기 때문이라 생각한다.</t>
  </si>
  <si>
    <t>이를 위한 해결방안으로 충격적인 임팩트가 있어야 하는데 가장 좋은 방법은 결혼한 부부가 둘째를 낳는 순간 현금 5억원 지급, 셋째 까지 낳으면 총 7억원 자급(5억 지급 후인 경우 2억원 추가 지급) 4째 이상 낳는 경우 총 10억원을 지급하는 정책을 시행하면 되지않을까 싶다 물론 지급대상은 대한민국 국적을 소유한 국민으로서 부부 중 한사람이라도 결혼 전 4대보험이 지급되는 직장을 다니고 있고 혼인신고가 이루어진 정식결혼을 한 부부로 한정하며 출산 시점에서도 직장을 유지하고 있어야 한다는 수급자격에 제한을 둬야한다 (재원은 진짜 300조원에 대한 1%의 은행예금이자만 해도 1년에 3조 1개월엔 2천5백억원, 이 금액이면 월 5백쌍의 부부에게 지급할 수 있는 금액이다) 좀더 파격적으로 다가오게한다면 2명 출산시 7억원 3명 출산시 9억원 4명 이상 출산시 15억원을 지급하면 된다</t>
  </si>
  <si>
    <t>한꺼번에 목돈을 받는다면 복권에 당첨된 것과 같은 기쁨을 받게되며 또한 목돈을 잘 운영함으로써 직장소득과 기타 자산소득을 갖게됨으로써 부득이 맞벌이 까지 하지않아도 자녀를 양육하는데 드는 경제적 부담이 없어지게되며 또한 요즘 세데 결혼 자체를 꺼리는 젊은이 들에게 취업과 동시에 결혼을 해서 아이를 출산할 경우 복권당첨과 같은 행운을 얻게함으로써 결혼에 대한 욕구를 늘릴 것이며, 맞벌이가 줄어듦으로써 반드시 취업을 해야하는 사람들에게 취업 기회가 늘어나게되며, 또한 소득이 증가하고 가족이 늘어남으로써 외식의 수요가 늘고 또한 소비심리가 살아남으로써 내수가 늘게되어 경제활성화 및 전반적인 산업발전을 야기하게될 것이다</t>
  </si>
  <si>
    <t>1. 안녕하십니까? 귀하께서 국민신문고를 통해 신청하신 제안(1AB-2401-0018496)에 대하여 회신 드립니다.
2. 귀하의 제안은 '출산지원금 확대'로 이해되며 다음과 같이 답변드립니다.
3. 제4차 저출산 고령사회 기본계획에 따라 육아에 대한 경제적 부담 완화를 위해 아래와 같은 정책을 추진하고 있습니다.
 ○ 첫만남꾸러미Ⅰ: 임신,출산 의료비 바우처 100만원 지원(다둥이의 경우 태아당 100만원)
 ○ 첫만남꾸러미Ⅱ: 출생시 아동당 200만원 지원 ('24. 1. 1. 이후 출생아부터 첫째아 200만원, 둘째아 이상 300만원)
 ○ 아동수당 : 보육시설 이용여부 관계없이 만8세 미만 아동에 월 10만원 지원
 ○ 부모급여 : 만0세 아동 월 100만원, 만1세 아동 월 50만원 지원('24년부터)
4. 아동 진료비 본인부담률 인하, 고위험 임산부 의료비지원 대상 질환 확대 등 아이를 낳고 기르는데 필요한 의료비 부담을 완화하였으며, 무상보육, 무상영유아교육, 초중고 무상교육실시('19), 다자녀가구 셋째이후로 대학등록금 면제(첫째,둘째는 감면) 등 교육비 부담완화를 위한 다양한 정책을 추진 중에 있습니다. 
5. 귀하께서 건의하신 출산지원금 상향은 대규모 예산이 투입되는 사업으로 시행을 위해서는 정책의 타당성 및 효과성 분석, 법적 근거 마련 및 사회적인 합의와 중장기적인 검토가 필요한 사항임을 알려드립니다. 
6. 답변 내용에 대한 추가 문의사항이 있으신 경우 보건복지부 보건복지콜센터(국번없이 ☎ 129) 또는 출산정책과(☎ 044-202-3398)로 연락주시면 성실히 답변 드리겠습니다. 감사합니다.  끝.</t>
  </si>
  <si>
    <t>인구감소및저출산 방한 문제</t>
  </si>
  <si>
    <t>전 21년도에 딸을키우는 한가정에 40대가장 입니다
저출산 정부지원한다길래 아기을 낳아 키우고 있습니다
진짜  경기도 수원에서는 한명 낳으면
혜택하나도 없드만요 2명낳아야 50만원
준다고하고 병원비 지원 아기사랑카드 60만원 택도없어요 애엄마 헛구역질해서
밥도 못먹어서 영양제 주사값만 15만원
아기 초음파 10달동안 보려확인만 달달이
10만원 거기다 기형아검사 정밀검사
총 150만원들어가는데 이게 무슨 정부지원
입니까 아기키우는데 옷.장난감.교육비.
귀저기만해도 한달에 100만원식 들어가는데 아무것도 안해도 먹고자고 해도 기본 
매달 100만원들어 간다니까요
이번달에 도시가스비 아기 감기때문에
26도 해더니 ㅎ 가스비50만원 장난합니까
정부지원 가스비 전기료 감면해죠야 
아기을 키우죠
대책마련  한달100만원씩 출산가정 지원하고   직접적인 생활비 전기료 가스비 50프로 감면 바로 시행해야 한다고 생각합니다
다른데 유치원 학교등 
대책마련 시급합니다
한명 키우기도 정말 어럽습니다</t>
  </si>
  <si>
    <t>지역에따라 차등지급 그만하고 한명당
만 19살까지 정부에서 월 100만원 지원하고 
어린이집  유지원 학교 무료지원해야
합니다</t>
  </si>
  <si>
    <t>20~30대가 출산을 할걸로 인구 절반으로
줄어들 것으로 보여 짐니다
 인구감소 못하면 대한민국은 없고
외국인들이 전명하는 시대로 갑니다</t>
  </si>
  <si>
    <t>1. 안녕하십니까. 귀하께서 국민신문고를 통해 신청하신 제안(1AB-2401-0017697)에 대하여 회신드립니다.
2. 귀하의 제안 내용은 아동수당 지원확대와 어린이집 무상보육 요청에 관한 것으로 이해됩니다.
 ○ 아동수당 지원 확대 관련은 아동복지정책과, 어린이집 무상보육 요청 관련은 보육사업기획과에서 안내드리겠습니다.
&lt;아동수당 지원 확대&gt;
 ○ 정부는 아동 양육의 경제적 부담을 경감시키고 아동의 건강한 성장환경을 조성하여 아동의 기본적 권리와 복지 증진을 위해 2018년 9월 아동수당을 도입해 현재 8세 미만 모든 아동에 대해 매월 10만원 아동수당을 지급하고 있습니다.
 ○ 아동수당 지원 확대는 재정소요를 감안하여 사회적 논의를 거쳐 법률 개정을 통해 실행 가능한 사항임을 알려드리니 참고하시기 바랍니다.
&lt;어린이집 무상보육 요청&gt;
 ○ 영유아보육법 제34조(무상보육)에 따라 어린이집 이용 영유아에 대한 보육을 무상으로 지원하고 있으며, 보육료는 소득수준에 관계없이 대한민국 국적을 가진 자로, 주민등록법에 의해 주민등록번호를 정상적으로 부여받은 0~5세반 아동을 대상으로 지원하고 있음을 알려드립니다.
   - 보육료는 아동의 보호자로서 친권자,후견인 등이 아동 주민등록 주소지 관할 읍·면·동 주민센터를 방문하여 신청하거나 온라인(www.bokjiro.go.kr, 모바일 포함)을 통해 신청하신 후 지원 받으실 수 있습니다.
 ○ 또한, 정부는 '12년 5세를 시작으로 13년 3,4세까지 교육, 보육 공통과정인 누리과정을 유치원 및 어린이집을 다니는 유아를 대상으로 실시하고 있습니다. 이와 관련한 비용은 유아교육법 제24조 및 같은법 시행령 제29조에 따라 최대 3년을 지원할 수 있도록 규정하고 있습니다.
   - 제29조(무상교육의 내용 및 범위) ① 법 제24조제1항에 따라 초등학교 취학 직전 3년의 유아에 대하여 실시하는 무상교육은 매년 1월 1일 현재 만 3세 이상인 유아로서 다음 각 호의 어느 하나에 해당하는 기관에서 교육부장관과 보건복지부장관이 협의하여 정하는 공통의 교육·보육과정(이하 "공통과정"이라 한다)을 제공받는 유아를 대상으로 한다. 이 경우 유아가 받을 수 있는 무상교육 기간은 3년을 초과할 수 없다. 1. 유치원 2. 「영유아보육법」에 따른 어린이집 3. 그 밖에 교육부령으로 정하는 바에 따라 유아교육을 실시하도록 지정받은 기관 ② 1월 2일부터 3월 1일까지의 기간 중에 만 3세가 된 유아가 공통과정을 제공받는 경우에는 제1항 전단에도 불구하고 무상교육의 대상으로 본다. 이 경우 유아가 받을 수 있는 무상교육 기간은 3년을 초과할 수 없다.
3. 추가로 궁금하신 사항이 있으시면 보건복지부 보건복지상담센터(국번 없이 129) 또는 아동복지정책과(044-202-3420, 아동수당 지원 확대 관련), 보육사업기획과(044-202-3563, 어린이집 무상보육 요청 관련)로 연락주시기 바랍니다. 감사합니다.  끝.</t>
  </si>
  <si>
    <t>지방정부별 분산되어있는 출산정책을 중앙정부로 통합관리 필요</t>
  </si>
  <si>
    <t>현재 각 지방정부가 경쟁적으로 저출산대책에 대한 정책을 수립하여 시행하고있습니다.
물론 잘 계획되고 짜여진 계획도 잇지만 임기웅변식 계획도 보입니다.
지속적이고 전국이 통일된 정책이 필요한 싯점입니다.
그러기 위해서는 저출산대책에 대한 새로운 접근이 필요합니다.</t>
  </si>
  <si>
    <t>각 지방정부가 시행하고있는 모든 정책을 중앙정부가 통합하여 관리하고
저출산정책이 전국적으로 통일된 정책으로 접근할수있도록 해야 합니다.
저출산대책이 시급함에도 불구하고 시간을 너무 놓친 것이 아닌가 싶기는 합니다.
그러나 각 지방 정부라도 긴급하게 시행한 좋은 정책들이 있다면 이것들을 참고해서
중앙정부가 전국에 통일된 정책으로 시행되도록 관리해야합니다.</t>
  </si>
  <si>
    <t>통일된 저출산대책 시행
예산 낭비 감소
국민들의 이해도 제고
출산율 증가</t>
  </si>
  <si>
    <t>1. 안녕하십니까? 귀하께서 국민신문고를 통해 제안주신 사항에 대해 보건복지부 인구정책총괄과에서 안내드리겠습니다.
2. 귀하께서 제안주신 사항은 저출산 완화를 위해 '출산 정책 관련 지역별 통일된 정책 필요'에 대한 사항으로 이해되며 정부의 저출산 정책 방향과 관련하여 다음과 같이 안내드립니다.
 ο 우리나라는 대한민국 헌법 제8장 제117조 및 제118조에 근거하여 국가와 지방자치단체의 책임과 권한을 합리적으로 배분하고, 지자체별 사정에 따라 정책 결정 및 지역간 발전 격차 등을 줄이도록 노력하고 있습니다.
  - 이에 따라, 지자체별 출산지원 정책은 인구유출 방지 및 유입 유인, 재정여건 등 지자체 사정에 따라 대상 및 지원수준을 조례마다 다르게 정의하고 있으며, 이는 지자체 사정이 각기 다른 점을 고려할 필요가 있습니다.
 ο 다만, 중앙정부 차원에서 저출산고령사회기본계획(제4차, 2021~2025) 수립을 통해 중점 추진방향 설정 및 과제를 발굴하고, 시도 등 광역지자체는 자체 시행계획을 수립하여 지역 여건에 맞는 저출산 정책을 추진하고 있습니다.
 ㅇ 말씀하신 취지와 같이 각 사업에 대한 평가를 통해 좋은 정책은 과감하게 추진하고, 효과성이 떨어지는 정책은 폐지하는 등 수용도가 좋은 정책이 될 수 있도록 노력하겠습니다.
3. 저출산 고령화 정책에 관심을 갖고 소중한 제안을 해주심에 다시 한번 감사드리며, 정부는 체감도 높은 정책을 지속 발굴하고, 더불어 향후 정책을 수정·보완하는 과정에서 귀하의 민원 취지를 고려하도록 하겠습니다. 
4. 귀하의 가정이 평안하시길 바라며, 저출산 정책과 관련하여 추가적인 궁금한 사항이 있으시면 보건복지콜센터(국번없이 129번)이나 보건복지부 인구정책총괄과(044-202-3691)로 문의해 주시면 안내드리겠습니다. 감사합니다.  끝.</t>
  </si>
  <si>
    <t>저출산 결혼만하고 자녀 없이 사는 이유</t>
  </si>
  <si>
    <t>요즘 결혼하고도 아이없는 가정
혼신만하고 아파트분양 그리고
둘이벌어 잘살자 이런이유 
정부는 현실을 모르고 있다
정말 답답하다 저출산 언제까지 말만할것인가 아기정말  한명도 힘들다 
일단 교육비
각종 전기료 가스비 차등화 없어져야 한다
무슨 지역을  따지고 있냐 어짜피 미래는
도시로 몰리고 인구는 한개가 잇다
1명 자녀가 혼인가정 1명만 아기 있어도
인구는 증가할것이다
국가는 생각해야 한다 인구문제 누가 일할것인가 우리 자녀가  미래다 
혼인가정 한명당 혜택을 주어야한다
시급하다 
주변지인들 하는말  애낳으면 고생한다
이게 하는말이다 
혼자살것다 결혼하고 아기 안나고 살것다
내가 할말이 없다  나도 아이키워 보니 알것다 한달 생활비만 300만원이 들어간다
월급타서 생활비 다쓴다 애엄마는 육가에
매진하고 나혼자 돈벌고 아기 먹고 재우고
어린이집가고 시간이 없다 2세 어린이집
점점 돈들어가기 시작하고 영어가리키라 하고 돈 돈들어갈땐 만은데 월18만원씩 내야된다고 하고 어린이집 국가보조금갔고 적자라고 하고 답답하고 한탄스럽다
지역별 출산지원금 1억으로 해야한다
자녀가 만20세까지 100만원식 지급</t>
  </si>
  <si>
    <t>출산지원금 1억하고 단 주택마련 할시에
주택지원금 전세 자가 구입시 보태야한다
그리고 자녀가 20세 까지 월100만원 지급
월100만원은 헛튼짓 못하게 국민행복카드
적립해야 재정이 세는걸 없세수있다
일부로 혼인하여 아기만낳고 돈만 챙기는
인간말종 있술수 있기때문이다
그리고 아기한테 월100만 1억을 직접 걸어나야 한다 그 아이을 키우는 사람에게는 무조건 1억 월100만원 지급 단 국민행복카드
지급 
교육비  전기세 공가금 아기가 필요한대 지급 가는한곳 가능하도록 해야한다
보육원도 상관없다
그래야 확실하게 인구가 충족될것이다</t>
  </si>
  <si>
    <t>한10년만하게 된다면 인구는 기하급수
올라갈수 잇고 주택해소 건설경기도
좋아질것으로 본다</t>
  </si>
  <si>
    <t>1. 안녕하십니까? 귀하께서 국민신문고를 통해 신청하신 제안(1AB-2402-0012922)에 대하여 회신 드립니다.
2. 귀하의 민원은 '출산지원금 확대'로 이해되며 다음과 같이 답변드립니다.
3. 제4차 저출산 고령사회 기본계획에 따라 육아에 대한 경제적 부담 완화를 위해 아래와 같은 정책을 추진하고 있습니다.
 ○ 첫만남꾸러미Ⅰ: 임신, 출산 의료비 바우처 100만원 지원(다둥이의 경우 태아당 100만원)
 ○ 첫만남꾸러미Ⅱ: 출생시 아동당 200만원 지원 ('24. 1. 1. 이후 출생아부터 첫째아 200만원, 둘째아 이상 300만원)
 ○ 아동수당 : 보육시설 이용여부 관계없이 만8세 미만 아동에 월 10만원 지원
 ○ 부모급여 : 만0세 아동 월 100만원, 만1세 아동 월 50만원 지원('24년부터)
4. 아동 진료비 본인부담률 인하, 고위험 임산부 의료비지원 대상 질환 확대 등 아이를 낳고 기르는데 필요한 의료비 부담을 완화하였으며, 무상보육, 무상영유아교육, 초중고 무상교육실시('19), 다자녀가구 셋째이후로 대학등록금 면제(첫째,둘째는 감면) 등 교육비 부담완화를 위한 다양한 정책을 추진 중에 있습니다. 
5. 귀하께서 건의하신 출산지원금 상향은 대규모 예산이 투입되는 사업으로 시행을 위해서는 정책의 타당성 및 효과성 분석, 법적 근거 마련 및 사회적인 합의와 중장기적인 검토가 필요한 사항임을 알려드립니다. 
6. 답변 내용에 대한 추가 문의사항이 있으신 경우 보건복지부 보건복지콜센터(국번없이 ☎ 129) 또는 출산정책과(☎ 044-202-3398)로 연락주시면 성실히 답변 드리겠습니다. 감사합니다.  끝.</t>
  </si>
  <si>
    <t>출산율 증가를 위한 제안</t>
  </si>
  <si>
    <t>출산율을 위한 여러가지 정책을 실행하고 있음에도 불구하고, 출산율은 점점 낮아지고 있습니다.
출산율은 국가적인 문제임에도 불구하고, 지방자치단체에서 정책을 만들고 있습니다
결혼한 친구들에게 물어보면, 대출우대나 어린이집같은 간접적인 지원책보다는, 통장에 지원금을 지원하는 직접적인 지원책이 더 효과적이라고 합니다.
그리고 일회성 출산 지원책이 아닌, 지속적인 지원책이 필요하다고 합니다.</t>
  </si>
  <si>
    <t>출산율 관련 정책은 중앙정부에서 실행 합니다.
유아/어린이집/초등학교/중학교/고등학교에서 필요한 자금을 조사하여, 부모님의 통장에 직접 지원해 줍니다. 
친구에게 물어 보았을때, 유아는 1인당 매월 250만원, 중학생은 150만원이 지원된다면 키울만 하다고 합니다. 
너무 많은 세금이 든다면, 지원금을 줄여서라도 매달 지원해 줍니다.</t>
  </si>
  <si>
    <t>대출, 주차장, 어린이집 등등 간접접인 출산 지원책은 효과가 없음이 명백해 졌으니, 부모님 통장에 직접 지원을 시도해 본다면 좋은 결과가 있을것 같습니다.
출산은 중요한 문제니, 중앙정부에서 직접 실행 한다면, 지방자치단체마다 다른 출산지원정책으로 헷깔릴 일도 없으니, 국민들은 더 간단한 정보를 믿고 출산을 많이 할 수 있습니다.</t>
  </si>
  <si>
    <t>1. 안녕하십니까. 귀하께서 국민신문고를 통해 신청하신 제안(신청번호 1AB-2402-0017392)에 대하여 회신 드립니다.
2. 귀하의 제안 내용은 '아동수당 지원 확대'와 관련한 것으로 이해되며 아래와 같이 답변을 드립니다.
 ○ 정부는 아동 양육의 경제적 부담을 경감시키고 아동의 건강한 성장환경을 조성하여 아동의 기본적 권리와 복지 증진을 위해 2018년 9월 아동수당을 도입해 현재 8세 미만 모든 아동에 대해 매월 10만원 아동수당을 지급하고 있습니다.
 ○ 아동수당 지원 확대는 재정소요를 감안하여 사회적 논의를 거쳐 법률 개정을 통해 실행 가능한 사항임을 알려드리니 참고하시기 바랍니다.
3. 추가 문의사항이 있으신 경우 보건복지부 보건복지콜센터(국번없이 129) 또는 아동정책과(044-202-3420)로 연락주시면 성실히 답변드리겠습니다. 감사합니다. 끝.</t>
  </si>
  <si>
    <t>저출산의문제요인은다양한요인있다
그중정부가눈여겨봐야할핵심포인트를놓치고있는것같다
걸혼연령대놓아지면서
난임부부가늘고있다는점인데
애기를갖을맘이없는부부에게기웃거리는것은두번째고애기를깆고자하나예비고령산모이다보니정신적고통과
시험관시술비용과그에따른다회검사로재정도한가정이감당하기엔벅차다
저소득층은시험관시술은꿈도꾸지못한다
지금의대책은10년전이나오늘이나별로개선된것은미미하다
출산율저하는더심화되고있는실정이다</t>
  </si>
  <si>
    <t>첫째
난임검사
불임검사
시험관시술
관련비용을정부가100%지원하자
아니면의료보험혜택에포함하자
전국34만정도난임부부가있다는데
시험관시술하면34만×2명
시험관은주로쌍동이가많이태어날확률이높지안은가
물론시험관이100%는아니지만
단시간그리고장시간지속적출산증가효과가
나타나지않겠는가
둘째
쌍둥이.세쌍둥이가정이축복이면서재앙이다
친가.시집부모가육아에호출을받고얼마나힘들어하는지보았다
요즘시부모나이가65세70세이지않은가
지쳐가는가정의모습을지켜본예비출산부부의입장에서보면육아의고통이그들눈에어떻게비치겠는가
그래서
항둥이출산가정 차량구입반갑해택
육아도우미파송
출산장려축하금5000만지원
예산타령이나오겠지만
정부예산줄줄새는곳을제발고칩시다
예시.도로인도블럭교체사업의방만함과짬짬이행정충분히더사용해도되는블럭을먼말되면집행하는것은온민이알고분노하는사업입니다</t>
  </si>
  <si>
    <t>결혼연령이높아지면서애기를갖고싶어하는부부들이용기와의욕을갖고인공시술에적극참여하므로엄창난사회적공감대형성되어고출산시대의장을열것으로기대.</t>
  </si>
  <si>
    <t>1. 안녕하십니까? 귀하의 제안 요지는 '난임시술 지원 확대'에 관한 것으로 이해되며, 답변드립니다.
2. 2024년부터 난임부부가 전국 어디서나 소득수준에 상관없이 시술비를 지원받을 수 있도록 지자체 지원사업의 소득기준 폐지 협의를 완료하였습니다. 또한 체외수정(신선배아, 동결배아) 시술 간 급여인정 횟수 칸막이가 폐지되고 4회가 추가(체외수정 16→20회)됩니다(인공수정은 구별하여 5회 지원)
  - 참고로, 시술비 지원사업은 정부의 재정분권 추진에 따른 지방이양 결정으로 2022년 1월부터 지방자치단체가 추진하며, 소득기준 등을 완화하여 지원을 단계적으로 확대하고 있습니다.
3. 난임시술 추가 지원은 예산 소요 및 재정 여건 등 종합적인 고려가 필요한 사안으로 정부는 난임부부의 건강과 안전을 고려한 지원이 이루어질 수 있도록 지자체와 협력하여 다각적인 방안을 적극 검토해 나갈 것을 말씀드립니다.  끝.</t>
  </si>
  <si>
    <t>저출산에 대한 제안</t>
  </si>
  <si>
    <t>안녕하세요?
저는 지방에서 국공립어린이집을 운영하고 있는 원장입니다.
뉴스 보도내용처럼 지방은 유치원 어린이집 초등학교 신입생이 없어 존폐위기에 있습니다.
출산장려정책으로 각 지자체마다 많은 제도를 펼치고 있지만
좀처럼 저출산의 문제는 해결되지 않고 있습니다.
 저출산의 여파는 경제 및 앞으로 다가올 미래에 끼치는 영향이 심각 하다는 걸 온 국민과
 젊은층을 상대로 사고의 변화 및 곧 다가올 미래의 문제라는 의식의 변화가 더 시급하다고 봅니다.</t>
  </si>
  <si>
    <t>다음과 같은 의견을 제시합니다.
1. 학교 교양과목으로 채택하여 의식의 변화 도모
2. 전 방송사에 출산장려 공익광고 캠페인 의무화 홍보
3. 대중교통이나 공공장소에 출산장려 공익광고 캠페인 의무화 홍보
4.출산장려금 지급보다는 다자녀 가구 영구임대주택 입주를 하면 집 걱정없이 출산에 대한 부담감 감소</t>
  </si>
  <si>
    <t>30년전에 표어나 포스터 공익 캠페인등으로 출산저하 정책을 대대적으로 홍보 했듯이
반대로 출산장려의 필요성을 공익광고와 지금의 각종 제도혜택을 도입하고 학교에서 교양과목을
채택하게 되면 출산의 필요성과 의식을 도모하는 기대효과를 도모한다고 사료됨.</t>
  </si>
  <si>
    <t>1. 안녕하십니까? 보건복지부 인구정책총괄과입니다. 귀하께서 국민제안을 통해 건의해주신 내용에 대한 검토 결과를 다음과 같이 알려드립니다.
2. 먼저 인구정책에 관심을 가지고 의견 주신 점에 대해 깊은 감사 말씀드립니다. 귀하께서는 저출산 문제 해결을 위하여 학교 교양과목 채택, 방송사·대중교통·공공장소의 출산 장려 공익광고 캠페인 의무화를 요청하신 것으로 이해됩니다. 
3. 정부에서는 학령기 학생들의 합리적 가치관 형성을 위해 학교 인구교육도 지속적으로 운영하고 있습니다. 매년 연구·선도학교를 선정·지원하고 있고, 인구교육 교과서를 개발하여 교과목으로 운영하는 등 학교 내 인구교육을 점차 확대하고 있습니다. 앞으로도 학교 교육과정과 연계하여 인구교육이 더 체계화될 수 있도록 노력하겠습니다.
4. 또한 저출산 문제를 알리고 출산과 양육에 대한 인식 변화와 가족 친화적인 사회 분위기 조성을 위하여 인식 변화를 목표로 하는 영상을 활용하여 온라인 광고, TV, 옥외 광고 등을 진행한 바 있으며, 올해도 다양한 매체를 활용한 홍보 캠페인을 계획 중에 있습니다. 
  - 다만, 정부에서 방송사를 비롯한 대중교통·공공장소의 출산 장려 공익광고 캠페인 의무화 조치는 헌법에서 규정하고 있는 언론의 자유와 관련된 사항으로 신중한 검토가 필요한 사항으로 판단됩니다. 
5. 정부는 정책을 만들고 실천함에 있어서 국민의 의견을 충분히 반영할 수 있도록 더욱 노력하겠습니다. 인구 정책에 관한 소중한 의견 주셔서 감사드리며, 기타 문의사항이 있으신 경우 보건복지부 인구정책총괄과(044-202-3373) 또는 보건복지부 콜센터(국번없이 129)로 연락주시면 안내드리겠습니다. 감사합니다.  끝.</t>
  </si>
  <si>
    <t>출생관련 일반제안 신청합니다.</t>
  </si>
  <si>
    <t>1. 전세계적으로 대한민국 출산율이 심각한 단계입니다. 
출생율이 심각한데 나라 및 지자체에서 전기차 보조금은 수백~수천만원인데
일부지역은 자녀출생에 따른 출산지원금이 0원, 둘째부터 80만원 혹은 100만원인곳이 있습니다. 
2. 출생율을 높이는 실질적인 정책이 없습니다.</t>
  </si>
  <si>
    <t>1. 전기차 보조금을 줄이고 출생율에 대한 지원금을 대폭지급해주세요.
2. 아이한명 출산당 20평대 아파트를 자녀가 성인이 될떄까지 무료임대 / 
   아이두명 출산 시 30평대 아파트를 자녀가 성인이 될때까지 무료임대 등 주거에 대한 걱정을 해소시켜준다면 
   출생율이 늘어날 것이라 생각합니다.</t>
  </si>
  <si>
    <t>1. 10년을 넘게 지속된 저출산문제에 대한 출생율 반등이 없는 상태로, 
 이제는 현실적인 지원으로 출산율 증가를 기대함</t>
  </si>
  <si>
    <t>1. 안녕하십니까? 귀하께서 국민신문고를 통해 신청하신 제안(1AB-2403-0001962)에 대하여 회신 드립니다.
2. 귀하의 민원내용은 "전기차 보조금 축소 및 출산지원금 확대"에 관한 것으로 이해되며 아래와 같이 답변을 드립니다. 
 ○ 정부는 출생·육아에 따른 경제적 부담 경감 및 영아기 돌봄을 두텁게 지원하기 위하여 부모급여와 첫만남이용권을 도입하였으며 아동의 기본적 권리와 복지증진을 위하여 2018년 9월 아동수당을 도입하여 지원하고 있습니다.
  - 부모급여: ('24) 매월 만 0세 100만원, 만 1세 50만원
  - 첫만남이용권 지원: ('24) 첫째아 200만원, 둘째아 이상 300만원
  - 아동수당: 8세 미만 모든 아동에 대해 매월 10만원
 ○ 지방자치단체의 출산지원금은 지자체의 수요, 필요성, 정책방향, 재정상황 등의 종합적인 검토를 거쳐 지자체장의 판단에 따라 운영하는 제도이므로 지자체마다 상이한 지원금을 지원하고 있음을 알려드리며, 이에 대해 중앙정부에서 개입하기는 어려운 사항임을 알려드립니다.
3. 답변 내용에 대한 추가 문의사항이 있으신 경우 보건복지부 보건복지콜센터(국번없이 ☎ 129) 또는 출산정책과(☎ 044-202-3398)로 연락주시면 성실히 답변 드리겠습니다. 감사합니다.  끝.</t>
  </si>
  <si>
    <t>남녀차별 및 저출산 해소 방안</t>
  </si>
  <si>
    <t>002_01_009  저출산 차별해소 방안(여성가족부).hwp</t>
  </si>
  <si>
    <t>첨부물 참조</t>
  </si>
  <si>
    <t>▣ 기대효과
  ○ 남녀 기여도에 따른 급부 상호 제공으로 차별 완화 
  ○ 출산에 따른 인센티브 제공으로 출산률 제고</t>
  </si>
  <si>
    <t>1. 안녕하십니까? 귀하께서 국민신문고를 통해 신청하신 제안(1AB-2403-0001774)에 대하여 회신 드립니다.
2. 귀하께서는 '출산수당 지급'를 건의하신 것으로 이해되며 아래와 같이 답변을 드립니다.
 ○ 정부는 출생·육아에 따른 경제적 부담 경감 및 영아기 돌봄을 두텁게 지원하기 위하여 부모급여와 첫만남이용권을 도입하였으며 아동의 기본적 권리와 복지증진을 위하여 2018년 9월 아동수당을 도입하였습니다.
  - 부모급여: ('23) 매월 만 0세 70만원, 만 1세 35만원('24년부터 만0세 아동 월 100만원, 만1세 아동 월 50만원으로 확대)
  - 첫만남이용권 지원: ('23) 출생아당 200만원('24. 1. 1. 이후 둘째아 이상 출생아는 300만원 지급)
  - 아동수당: 8세 미만 모든 아동에 대해 매월 10만원
 ○ 귀하께서 제안하신 출산지원비용을 확대하는 것은 많은 추가 예산이 소요되는 사항으로 한정적인 국가의 재정여건을 고려하여 사회적 합의를 거치는 등 신중히 검토하여 추진하도록 하겠습니다.
 ○ 또한 지자체의 출산지원금은 각 지자체에서 정책적 필요성, 예산 등을 종합적으로 고려하여 조례를 통해 시행되는 사업인만큼 중앙부처에서 답변드리기 어려운 사안임을 알려드립니다. 
3. 답변 내용에 대한 추가 문의사항이 있으신 경우 보건복지부 보건복지콜센터(국번없이 ☎ 129) 또는 출산정책과(☎ 044-202-3398)로 연락주시면 성실히 답변 드리겠습니다. 감사합니다.  끝.</t>
  </si>
  <si>
    <t>출산율 걱정보다는 이강인같이 키우지 않는 아이 훈육 시스템이 중요하다 [영유아 보육시스템 개선안]</t>
  </si>
  <si>
    <t>영유아보육시스템제안.hwp</t>
  </si>
  <si>
    <t>한국사회 아이양육제도의 현황과 문제점
가정중심 아이양육이 지나쳐 사회성·독립성 감퇴
노인인력 활용 미비, 아이돌보미 인건비 지출 부담
지역사회 아이프로그램과 인프라 미흡
여성국방의무 대체 활동 도입 미진
복지연계 지원체계 부족과 차별성 제고 필요
아이별 맞춤형 지원과 전문상담 지원 미흡
사회적 연대와 책임 제고를 위한 제도·인식 미비
중장기 아이정책 수립과 추진력 제고 시급
이를 극복하여 아이양육 역량강화가 필요한 실정입니다.</t>
  </si>
  <si>
    <t>한국사회 아이양육제도 개선 방안
기숙학교 등 공동체화 학교 도입으로 가정 의존 해소
노인전문인력 양성으로 아이돌보미 역할 전환 보완
여군 아이돌보미 제도 시행으로 인건비 절감
지역사회 아이프로그램과 복지인프라 구축
아이별 맞춤형 지원계획 수립과 전문상담제도 마련
복지정책 연계와 차별해소를 통한 지원체계 정비
민관협력과 사회적 책임 제고를 위한 제도적 장려
국가정책으로서의 아이양육 지원체계 정착
국제교류를 통한 선진 사례 도입 및 연구 지원</t>
  </si>
  <si>
    <t>한국사회 아이양육제도 개선 기대효과
아이 사회성과 독립성 강화, 정서발달 지원
가정경제부담과 양육스트레스 경감
아이돌보미 인건비 절감통한 예산재편성 가능
지역사회 아이양육 역량 강화
아이별 맞춤형 교육으로 인재육성 효과 제고
복지사각지대 해소와 국민권익 강화
민관협력과 사회적 책임 실현 강화
아이권리 존중문화 정착을 통한 사회발전
중장기적으로 더 밝은 미래사회 구현 기대
국제사회에서의 한국 아이양육사례 확산 기대</t>
  </si>
  <si>
    <t>1. 안녕하십니까? 귀하께서 국민신문고를 통해 제안주신 사항은 다부처지정건으로 우리부 소관사항에 대해 검토한 결과를 다음과 같이 안내드리겠습니다
2. 귀하께서 제안주시는 사항은 저출산 완화를 위한 '영유아보육시스템 개선'에 대한 사항으로 이해되며, 정부의 저출산 정책방향에 대해 다음과 같이 안내드리겠습니다.
 ο 정부는 저출산 현상의 원인을 노동시장 격차, 불안정한 고용 증가, 교육 경쟁 심화, 높은 주택 가격, 일·가정 양립의 어려움, 돌봄 공백 등 사회경제적 요인, 전통적 가족제도, 국민인식 변화 등 문화 가치관 측면, 주출산 연령대 여성인구 감소, 혼인율 하락, 초혼연령 상승, 미혼 가구 평균 출생아수 감소 및 무자녀 비율의 인구학적, 사회구조적 요인 등 다양한 사회·경제·문화적 요인이 복잡하게 얽힌 결과로 판단하고 있습니다.
 ο 이에 정부는 '24.6.19. 대통령 주재 2024년 제1차 저출산·고령사회위원회를 개최하여 결혼·출산·양육이 장점이 될 수 있는 환경 조성 등을 주요과제로 한  「저출생 추세 반전을 위한 대책」* 을 발표한 바 있으며, 
     * (참고) 저출산고령사회위원회 홈페이지 &gt; 정책공간 &gt; 안건자료
 ο 저출생의 직접 원인이 되고 있는 ① 일·가정 양립 ② 양육 ③ 주거 등 3대 핵심분야 지원에 역량을 집중 및 좋은 일자리 창출, 과도한 경쟁 완화를 위한 공교육 내실화, 지방균형 발전 등 구조적 요인에 대해서도 기재부, 복지부, 고용부, 교육부, 국토부 등 범부처 차원에서 지속적으로 대응해나갈 계획입니다.
    ※ 말씀하시는 노인 사회공헌활동 등 관련하여 위 대책 발표를 통해, 노인일자리 사업참여자 중 경력과 역량활용이 가능한 신노년층 대상 아이돌보미 활동 지원에 대한 대책 발표를 포함하고 있으며, 다만, 영유아 보육(교육부), 아이돌보미사업(여가부), 국방교육과정(국방부)에 대한 사항은 관계부처 누리집 참고
 ο 우리 부는 건강한 출산 지원과 비용 부담 경감을 위하여 임신·출산진료비 지원(국민행복카드 100만원), 고위험 임산부 및 미숙아·선천성 이상아 등에 대한 진료비 지원 및 건강보험을 통한 2세 이하 영유아 입원 진료비 본인부담면제, 15세 이하 아동입원진료비 5% 적용(일반환자20%) 등을 시행하고 있습니다.
  - 더불어, 국민연금은 현재 출산한 국민연금 수급자에게 가입기간 추가지원 혜택을 드리는 제도인 "출산크레딧*"을 2008년 1월 1일부터 도입 운영하고 있습니다.
   * 출산크레딧 제도 
    ? (개요) 출산친화여건조성 및 여성가입자의 수급기회 확대를 위해 국민연금의 추가가입기간을 인정('08년)
    ? (인정기간) 둘째 자녀 12개월, 셋째 자녀부터 인 당 18개월 추가(최대50개월)
    ? (인정시점) 노령연금 수급권을 취득한 때
  ο 또한, 첫만남이용권('24. 첫째아 200만원, 둘째아 이상 300만원), 부모급여('24, 만0세 100만원, 만1세 50만원) 및 아동수당(만7세까지 월10만원)을 지원하는 등 양육부담을 줄이기 위한 지원도 지속 확대하고 있으며,
 ο 이외에도 필수 가임력 검사비용 지원, 냉동난자 보조생식술 지원, 난임 시술비 소득기준 폐지 등 임신 과정에 대한 지원을 확대 중임을 알려드립니다.*
    ※ ('24년도 저출산대책 지원 확대 관련 참고) 보건복지부 홈페이지&gt;알림&gt;보도자료&gt;"임신·출산·양육이 행복하도록 2024년 정부지원이 대폭 확대됩니다."
3. 저출산  정책에 관심을 갖고 소중한 제안을 해주심에 다시 한번 감사드리며, 정부는 체감도 높은 정책을 지속 발굴하고, 더불어 향후 정책을 수정·보완하는 과정에서 귀하의 민원 취지를 고려하도록 하겠습니다.
4. 귀하의 가정이 평안하시기를 바라며, 복지부 출산 양육 지원 사업 등 관련 문의사항은 보건복지콜센터(국번없이129)로 문의주시기 바라며, 총괄적으로 보건복지부 인구정책총괄과(044-202-3691)에서 안내드렸습니다.  끝.</t>
  </si>
  <si>
    <t>국민연금 개혁안 (출산률)</t>
  </si>
  <si>
    <t>떨어진 출산률과 함께 국민연금제도의 지속가능성이 낮아지고 있음</t>
  </si>
  <si>
    <t>국민연금 기본 납부 금액을 늘린다.
대신 혼인/1자녀/2자녀/3자녀 순으로 납부금액을 줄인다. 한부모가정의 경우 납부금액이 더 줄어든다.
태어난 유아에게 연금을 지급한다. 신생아일때 제일 많이 지급하고 점점줄어들어 15세까지 지급받는다.
노인에대한 지급 가능 나이는 80세로 미룬다. 다만 자녀1/자녀2/자녀3 순으로 연금수령 가능 나이를 앞당긴다.</t>
  </si>
  <si>
    <t>국민연금은 더이상 개인의 재태크도구로 생각하지 않습니다. 국민연금은 세대간의 부의 재분배기능을 한다고 생각합니다. 경제활동이 활발한 젊은 세대로부터 경제활동이 줄어든 노인세대에게 지원해주는 기구 입니다. 그 대상을 노인세대뿐 아니라 경제활동이 불가능한 유아세대도 포함 시키는 방안입니다. 앞으로 태어나는 유아는 '선수령 연금 가입자'가 되어 양육비 부담을 줄이는 효과를 기대할 수 있습니다. 이 금액은 온전히 무자녀 노인세대에서 65세부터 받을 연금을 80세로 미뤄지며 얻을 수 있습니다. 
국민연금은 근로자와 사업자가 절반씩 부담하게 되어있습니다. 높아진 국민연금 납부금액은 사업자입장에서도 중요한 사항입니다. 자녀출산에 따라 연금납부금액이 줄어드니 사업자측 부담도 많이 줄어들고 사내에서 출산장려문화를 독려할 수 있습니다. 이 아이디어는 종국엔 취업시장에서 기혼자 우대, 자녀부양자 우대 현상이 나타나길 기대합니다. 현재 많은 청년세대들이 2~3년간 취업준비 활동으로 사용하는 기간을 취업전 가정 꾸리고 자녀 출산문화로 변하길 기대합니다. 앞으로 기슬이 발전함에 따라 최종 사회진출 하기 위한 기술지슥 습득 및 자원 확보의 양이 더 커지고 때문에 나이는 더 늦춰질 것입니다. 하지만 사람의 노화는 그만큼 지연되지 않기 때문에 청년의 사회 진출 시기보다 가정을 꾸리는 시기가 먼저 이뤄지는 문화가 자리잡아야 한다고 생각합니다. 유아에 대한 연금지급은 청년들이 취/창업 하기전 먼저 자녀를 갖는데 부담을 줄여줌과 동시에 이후에 더 수월한 취/창업으로 이어질 것입니다. 출산율이 안정적으로 자리 잡히면 국민연금제도 자체의 지속가능성이 늘어날 것 입니다. 정확한 수치는 계산해보지 못했지만 이런 패러다임이 도움이 되길 바랍니다.</t>
  </si>
  <si>
    <t>1. 귀하께서 제안하신 국민제안에 대하여 이하와 같이 답변드립니다.
2. 귀하께서는 '신생아에 대한 연금 급여 지급, 자녀수에 따른 보험료율 차등 부과, 자녀수에 따른 수급개시연령 조정'과 관련된 제안을 해주신 것으로 이해됩니다.
○ 상기 제안해주신 제도 변경은 노후소득 보장, 제도의 지속가능성, 세대 형평성 등을 종합적으로 고려해 신중하게 검토해야 합니다. 
 - 또한, 제도 변경은 국민들의 생활에 많은 영향을 미치는만큼 충분한 사회적 논의를 통해 추진되어야 한다고 사료됩니다. 
○ 한편, 저출산 극복을 위해 출산 등 사회적으로 가치있는 활동의 장려가 필요하다는 귀하의 의견에 공감하는 바입니다.
 - 정부는 출산과 같이 사회적으로 가치있는 활동을 보상할 수 있도록 2007년부터 출산 크레딧 제도를 시행하고 있으며, 제5차 종합운영계획을 통해 지원을 확대하는 방안을 제시한 바 있습니다.
3. 귀하의 소중한 의견에 감사드리며, 추가 문의 사항이 있으신 경우, 보건복지상담센터(129) 또는 보건복지부 국민연금정책과(044-202-3607)로 연락주시면 안내드리도록 하겠습니다.  끝.</t>
  </si>
  <si>
    <t>국가의 존립이 달린 혼인률, 출산율 문제를 해결하기위해 제안합니다.</t>
  </si>
  <si>
    <t>연애코드1.png연애코드2.png연애코드3.png</t>
  </si>
  <si>
    <t>초유의 낮은 혼인률, 출산율로 인한 국가의 존립 비상</t>
  </si>
  <si>
    <t>안녕하세요.
저는 심리학을 전공하고 성심리 전문가로 활동하고 있는 이지은입니다.
아울러 연애허브라는 회사를 통해 성공적인 연애, 성관계, 결혼생활을 하기 위한 고급 심리 정보와 노하우를 알리고 있고요.
최근 저희 회사에서는 연애나 결혼을 하기 위해 남녀 간에 반드시 맞아야 하는 부분을 코드화한 '연애코드(기본형)'라는 것을 개발했습니다.
이게 맞지 않으면 연애나 결혼생활에 절대로 성공할 수 없기 때문이죠.
요즘 청년들의 혼인율, 출산율이 곤두박질쳐 국가적으로 비상사태인 상황에 각 지자체에서도 지자체 존립이 달린 저출산문제의 해결을 위해 여러 대책을 고심 중이라고 알고 있습니다.
어떤 지차체에서는 청년들을 위해 직접 중매행사를 개최하기도 했는데요, 
연애코드(기본형)을 활용하면 커플매칭률, 성사율을 획기적으로 높일 수 있을 것입니다.</t>
  </si>
  <si>
    <t>연애코드(기본형)을 활용하면 커플매칭률, 성사율을 획기적으로 높일 수 있을 것입니다. 
연애허브에서는 '연애코드(기본형)'의 활용 방안, 활용 시 애로사항에 도움말을 드릴 수 있습니다.
궁금하신 점은 문의주세요.
관심 있으신 회사 및 지자체 관계자의 많은 참여를 바랍니다.
• 연애허브 https://www.instagram.com/yeonaehub
• 담당자: 이지은 
[첨부]
●연애코드(기본형) 그림 파일 첨부
●연애코드(기본형) 설명을 간략히 붙입니다.
2. 남매, 자매 등 모든 형제는 아침형 인간과 저녁형 인간으로 구성되어 있습니다.
그래서 아침형 인간과 저녁형 인간은 어려서부터 서로에게 익숙해지면서 자라는데 이런 이유 때문에 아침형 인간과 저녁형 인간으로 이루어진 커플은 가장 빠르고 쉽게 서로에게 익숙해지고 적응할 수 있습니다.
3. 형제가 있는 사람들은 아주 어려서부터 서로에게 익숙해지면서 자랍니다.
그래서 동생이 있는 사람은 막내 등의 동생이 없는 이성에게, 반대로 동생이 없는 사람은 동생이 있는 이성에게 가장 쉽게 익숙해질 수 있고 가장 쉽게 적응할 수 있습니다.
4. 집에 있기 좋아하는 사람과 집에 있기 싫어하는 사람은 특히, 결혼을 하면 함께 시간을 보내기가 매우 어렵기 때문에 자신과 비슷한 사람을 만나는것이 가장 좋습니다.</t>
  </si>
  <si>
    <t>1. 안녕하십니까? 귀하께서 국민신문고를 통해 제안주신 사항에 대해 검토한 결과를 보건복지부 인구정책총괄과에서 안내드리겠습니다.
2. 귀하께서 제안주시는 사항은 '지자체 중매 행사 등 관련하여 개별 업체에서 개발한 상품 활용'에 대한 사항으로 이해되며, 정부의 저출산 정책방향과 관련하여 다음과 같이 안내드리겠습니다.
   ο 정부는 저출산 현상의 원인을 노동시장 격차, 불안정한 고용 증가, 교육 경쟁 심화, 높은 주택 가격, 일·가정 양립의 어려움, 돌봄 공백 등 사회경제적 요인, 전통적 가족제도, 국민인식 변화 등 문화 가치관 측면, 주출산 연령대 여성인구 감소, 혼인율 하락, 초혼연령 상승, 미혼 가구 평균 출생아수 감소 및 무자녀 비율의 인구학적, 사회구조적 요인 등 다양한 사회·경제·문화적 요인이 복잡하게 얽힌 결과로 판단하고 있습니다.
   ο 이에 정부는 '23.3.28. 대통령 주재 2023년 제1차 저출산·고령사회위원회에서 "결혼·출산·양육이 행복한 선택이 될 수 있는 사회환경 조성"을 목표로 저출산 정책과제를 선택과 집중하기 위한 추진 전략을 발표*(「윤석열 정부의 저출산 정책과제 및 추진방향」)한 바 있습니다. 
      * (참고) 저출산고령사회위원회 홈페이지 &gt; 정책공간 &gt; 안건자료
   ο 정부는 상기 추진 전략에 따라 저출산 주요요인, 정책연관성 및 효과성, 체감도 등을 고려하여 5대 핵심분야(돌봄·교육, 일·육아병행, 주거, 양육비용 지원, 건강)와 주요과제를 추진하고 있음을 알려드립니다.
   ο 다만, 귀하께서 말씀하시는 지자체별 중매 행사 등은 각 지자체에서 주관하여 진행하는 행사로 관련 건의 및 문의사항은 소관 지자체에 문의해주시기 바랍니다.
3. 귀하의 가정에 평안이 깃드시길 바라며, 기타 문의사항이 있으신 경우, 보건복지부 인구정책총괄과(044-202-3691) 또는 보건복지콜센터(국번없이129)로 문의주시기 바랍니다. 감사합니다.  끝.</t>
  </si>
  <si>
    <t>여성장애인 출산에 대한 다양한 서비스 정보 제공</t>
  </si>
  <si>
    <t>비장애인의 출산보다 장애인 출산이 신체적
정신적 상황을 고려야 출산 서비스 제공이 필요하다고 생각이 듭니다. 신체가 자유롭지 못 하는 장애 여성일 경우 임신에서 출산까지 안전하게
출산 할 수 있도록 다양한 임실과 출산에 관하여
직접적으로 상활별 교육 프로그램 개발 하여
저 출산 시대에 출산에 대한 불안함을 해소 될 수 있도록 장려 해야 합니다
또한 비장애인의 출산보다 장애인의 출산에
대한 다양하고 지속적인 방안을 개발하고
정책 시안을 만들 필요가 충분 하다고 생각 합니다.</t>
  </si>
  <si>
    <t>개선방안
저출산 시대 비장애인의 출산 복지 정책이
많이 발표 되고 있지만 장애여성인들의
출산에 대한 복지 정책이 만들어지면 좀 더
안전하고 불안하지 않게 정부의 도움을
받을 수 있게 출산 할수 있게 될것입니다.</t>
  </si>
  <si>
    <t>기대효과
심각한 저출산 시대에 출산을 하시는
산모들의 장애 여부에 따라 맞춤형 서비스를
받을 수 있도록 합니다.
이로 인해 여성 장애인 인권을 강화 하여
두려운 출산이 아니라 요람에서 무덤까지 국가
촘촘한 복지 서비스 제공하는 좋은 복지 서비스가 될것으로 기대합니다</t>
  </si>
  <si>
    <t>1. 안녕하십니까?
2. 국민신문고를 통해 제안(1AB-2403-0009611)해주신 소중한 의견에 감사드립니다.
3. 귀하의 제안은 '장애인 출산 복지 정책 확대'에 관한 내용으로 이해됩니다.
4. 우리 부에서는 장애인 출산 복지 관련하여 장애친화산부인과 지정, 여성장애인에게 태아 1인당 120만원의 출산비용지급, 장애인활동지원 수급자(배우자)가 출산시 활동지원 급여를 6개월 범위내에서 월 한도액 129.4만원 추가 지급 등 장애인 임신,출산지원을 위한 다양한 정책을 추진하고 있습니다.
5. 또한 여성장애인은 비장애인에 비해 제왕절개 출산비율이 높은 상황 등을 고려하여 제왕절개 비용 무료화도 추진하고 있습니다.
6. 정부의 저출생 대응 정책방향에 귀하께서 제안해주신 장애여성들의 안전하고 편리한 출산장려 정책 필요성에 대한 말씀에 공감하며 귀하께서 주신 의견은 더욱 다양한 장애인 출산 복지 정책을 수립하는데 참고토록 하겠으며, 앞으로도 장애인 출산 관련 촘촘한 복지 서비스 제공을 위해 노력하겠습니다.
7. 다시한번 제안의견 주심에 감사드리며 추가 답변이 계시거나 답변과 관련하여 궁금한 사항이 있으시면 보건복지부 콜센터(129) 또는 장애인건강과(044-202-3197)로 연락주시면 친절하게 안내해 드리겠습니다. 감사합니다.  끝</t>
  </si>
  <si>
    <t>여성 장애인 맞춤형 출산 교육 지원 서비스</t>
  </si>
  <si>
    <t>비장애인의 출산보다 장애인 출산이 신체적
정신적 상황을 고려야 출산 서비스 제공이 필요하다고 생각이 듭니다. 신체가 자유롭지 못 하는 장애 여성일 경우 임신에서 출산까지 안전하게
출산 할 수 있도록 다양한 임실과 출산에 관하여
직접적으로 상활별 교육 프로그램 개발 하여
저 출산 시대에 출산에 대한 불안함을 해소 될 수 있도록 장려 해야 합니다
또한 비장애인의 출산보다 장애인의 출산에
대한 다양하고 지속적인 방안을 개발하고
정책 시안을 만들 필요가 충분 하다고 생각듭니다.</t>
  </si>
  <si>
    <t>저출산 시대 비장애인의 출산 복지 정책이
많이 발표 되고 있지만 장애여성인들의
출산에 대한 복지 정책이 만들어지면 좀 더
안전하고 불안하지 않게 정부의 도움을
받을 수 있게 출산 할수 있게 될것입니다.</t>
  </si>
  <si>
    <t>심각한 저출산 시대에 출산을 하시는
산모들의 장애 여부에 따라 맞춤형 서비스를
받을 수 있도록 합니다.
이로 인해 여성 장애인 인권을 강화 하여
두려운 출산이 아니라 요람에서 무덤까지 국가
촘촘한 복지 서비스 제공하는 좋은 복지 서비스가 될것으로 기대합니다</t>
  </si>
  <si>
    <t>1. 안녕하십니까?
2. 국민신문고를 통해 제안(1AB-2403-0009525)해주신 소중한 의견에 감사드립니다.
3. 귀하의 제안은 '장애인 출산 복지 정책 확대'에 관한 내용으로 이해됩니다.
4. 우리 부에서는 장애인 출산 복지 관련하여 장애친화산부인과 지정, 여성장애인에게 태아 1인당 120만원의 출산비용지급, 장애인활동지원 수급자(배우자)가 출산시 활동지원 급여를 6개월 범위내에서 월 한도액 129.4만원 추가 지급 등 장애인 임신,출산지원을 위한 다양한 정책을 추진하고 있습니다.
5. 또한 여성장애인은 비장애인에 비해 제왕절개 출산비율이 높은 상황 등을 고려하여 제왕절개 비용 무료화도 추진하고 있습니다.
6. 정부의 저출생 대응 정책방향에 귀하께서 제안해주신 장애여성들의 안전하고 편리한 출산장려 정책 필요성에 대한 말씀에 공감하며 귀하께서 주신 의견은 더욱 다양한 장애인 출산 복지 정책을 수립하는데 참고토록 하겠으며, 앞으로도 장애인 출산 관련 촘촘한 복지 서비스 제공을 위해 노력하겠습니다.
7. 다시한번 제안의견 주심에 감사드리며 추가 답변이 계시거나 답변과 관련하여 궁금한 사항이 있으시면 보건복지부 콜센터(129) 또는 장애인건강과(044-202-3197)로 연락주시면 친절하게 안내해 드리겠습니다. 감사합니다.  끝.</t>
  </si>
  <si>
    <t>출산장려 캠페인 복지부에서 함께해요!!</t>
  </si>
  <si>
    <t>으랏차차 아이낳자.ppt으랏차차 저화질 뮤직비디오.mp4아이낳자 저화질 뮤직비디오.mp4KakaoTalk_20240320_160013117_13.jpg</t>
  </si>
  <si>
    <t>저출산 대책 말로만 돈으로만 하지만 대국민 인식개선 실패!! 
현재 저희 단체에서는 2년전부터 국민댄조 체조로 출산장려와 치매에방 국민 켐페인 행사를 서울시의회(추진위원장 김용호의원)와 서울시 여성단체협의회와 함께 각 구단위로 우리협회의 거출 경비로 수십차례 치러지고 있으며 오는4월10일 선거후에는 시청앞 광장을 서울시에서 사용승락을 받아서 매일 오전11시반 부터1시반까지 점심시간을 이용하여 출산장려와 치매에방을 위한 국민댄조 시범을 년중행사로 진행할것입니다  이에 국내 기업들도 관심을 가지고 있읍니다~~</t>
  </si>
  <si>
    <t>방송과 미디어 로  유튜브 틱톡 등으로 캠페인 홍보~
01, KBS 1TV 예능 프로그램 "으랏차차 아이낳자" 제작 방영 (윙바디 무대차량 이용 전국 순회)
    주 1회 60분 년간 50주 이상 방영분 프로그램으로 온 국민 출산장려 캠페인 추진
02, 출산장려 캠페인 가요 홍보 제목;으랏차차 , 아이낳자 (6둥이 아빠 가수 현진우 와 누나인 현선아 두 트로트 가 
    수가 신나는 트로트 음악에 맞춰 부르는 대중 가요) 두곡으로 방송 인터넷방송 등으로 홍보</t>
  </si>
  <si>
    <t>KBS 1 TV 정규 프로그램 으로 대국민 홍보로 인식개선 기대효과 만점
대중가요 두곡으로 방송 노출로 인한 인식개선 기대효과 만점 이에 대해 복지부의 협조를 당부드립니다
예산지원이나 공동주최 명칭사용 또는 후원명칭사용 등 많은 협조를 바랍니다
본 행사 담당자 정원수 로 연락 바랍니다 
---정원수 프로필---
숭실대, 경기대 대학원 공연예술학 석사
대중가요작곡가/ KBS전국노래자랑 심사위원
한국출산장려치매예방운동본부 대표
(주)케이팝스타 대표이사</t>
  </si>
  <si>
    <t>1. 안녕하십니까? 보건복지부 인구정책총괄과입니다. 귀하께서 국민 제안을 통해 건의해주신 내용에 대한 검토 결과를 다음과 같이 알려드립니다.
2. 먼저 저출산 정책에 관심을 가지고 의견 주신 점에 대해 깊은 감사 말씀드립니다. 귀하께서는 출산 장려와 치매 예방을 위하여 트로트 음악과 인터넷 방송 등을 활용한 KBS1 방송 제작 예산 지원 등을 건의하신 것으로 이해됩니다. 
3. 저출산 문제의 해법을 모색하기 위하여 대국민 캠페인을 진행이 필요하다는 귀하의 의견은 검토해볼 필요가 있을 것입니다. 
   ○ 정부에서는 저출산 문제를 알리고 출산과 양육에 대한 인식 변화와 가족 친화적인 사회 분위기 조성을 위하여 정책 홍보와 인식 개선을 목표로 하는 영상을 활용하여 온라인 광고, TV, 옥외 광고 등을 진행한 바 있으며, 올해도 방송 매체를 활용한 홍보를 계획 중에 있습니다.
   ○ 다만, 제안해주신 “으랏차차 아이낳자” 제작 방영과 트로트 가요를 활용한 출산 장려 캠페인 등은 예산 규모 등을 고려할 때 신중한 검토가 필요한 사항으로 판단됩니다. 저출산 문제 등에 대한 해결 방안을 사회적 의견 수렴 등을 통해 도입 방안과 적절성 등을 지속 검토하겠습니다.
4. 정부는 정책을 만들고 실천함에 있어서 국민의 의견을 충분히 반영할 수 있도록 더욱 노력하겠습니다. 저출산 정책에 관한 소중한 의견 주셔서 감사드리며, 기타 문의사항이 있으신 경우 보건복지부 인구정책총괄과(044-202-3373) 또는 보건복지부 콜센터(국번없이 129)로 연락주시면 안내드리겠습니다. 감사합니다.  끝.</t>
  </si>
  <si>
    <t>저출산 원인과 대책</t>
  </si>
  <si>
    <t>저출산의 원인을 제대로 알아야 대책이 제대로 나오지 않을까요?
저출산의 원인으로 경제적인 문제로만 접근하는데, 여성이 남성보다 더 결혼을 안하고 자녀를 안 갖으려는 이유가 무엇일까요? 만약 경제적인 문제로만 접근하면 현재 사회적인 인식으로 남자가 더 결혼가 출산에 대하여 적게 나와야 하지 않나요?
여성의 결혼율 출산율이 적은 이유는 경제적인 이유만이 아닌, 내 엄마같은 삶을 살고 싶지 않은 이유도 함께 작용한다고 생각합니다.
자녀을 키우고 학교보내고 하면서 대부분 엄마가 힘들어 하는 모습과 아직도 존재하는 남성우위 사상과 생활을 보와 왔기 때문 아닐까요?
먼 미래의 정책과 당장의 전국민 상대로 하는 정책보다는 
임신부터 갓난아기 그리고 어린이집,학교등에서 제대로 생활하면서 부모는 그것을 믿고 열심히 사회생활하게 하는 것이 자녀와 부모가 제대로 된  삶을 살게 하는 것이 아닐까요.
또한 대기업 위주의  출산 정책으로 상대적으로 박탈감을 느끼는 월소득 150만원~ 300만원사이의 대기업에 다니는 사람보다 훨씬 많은 프리랜서와 자영업을 하는 젊은이들이 
결혼과 출산시 빈부격차를 더욱 느끼게 되어  저결혼과 저출산은 더욱 고착화 될 겁니다. 
누구는 서울에 태어나 산후조리원비용 지원받고 또는 산후조리원비용 없어 못가고,
누구는 다른 지역에서 태어나 산후조리원비용도 지원 못 받고, 집에서 산후조리하고
그러다 너무 힘들어 하고,
맘카페에서 시(친정)부모등이 얼마를 도와 주었다, 좋은 유모자를 사 주었다 하는데 나는 그러지 못해 상대적 박탈감 느끼헤 되고, 시부모나 친정부모는 또 상대적 박탈감 느끼고. 이런것이 소문나 더욱 결혼 출산을 안하게 되고등등 연쇄반응을  일으키게 되고 있지 않을까요?
만약 소득과 재산이 많은 젊은이들이 결혼과 출산을 안한다고 하면 그것을 무슨 의미일까요?
자녀가 초등학교 4학년이상이면 또는 중학교에만 들어가면 어느정도 성장하였으니 이때부터는 부모가 그리 큰 신경을 안써도 될 겁니다.
자녀가 갓난아기때부터 혼자서도 식사를 챙겨먹고 사회를 인식하기 전까지가 부모의 도움이 필요하고 사회의 도움이 필요하다고 생각됩니다.(물론 이 이후에도 당근으로 신경써야 하지만)
이것을 가정과 사회, 국가가 도와 주어야 합니다</t>
  </si>
  <si>
    <t>1. 귀하께서 국민신문고를 통해 신청하신 제안(1AB-2403-0011341)에 대하여 회신드립니다.
2. 귀하의 민원은 "산후조리원 비용 및 어린이집 보육료 지원"으로 이해되며 다음과 같이 답변 드립니다.
 가. 산후조리원 지원
  ○ 산후조리원의 부담 경감을 위하여 지방자치단체에서는 모자보건법 제15조의17에 따라 지자체 내 수요와 공급 실태, 해당 지자체의 재정 여건 등 종합적 판단하에 공공산후조리원을 설립하여 지원하고 있습니다.
  ○ 국가는 공공산후조리원에 직접적 설치·운영 지원 보다 산모신생아 건강관리사업 등 사회서비스 확대와 출산초기 비용 부담 경감을 위한 첫만남이용권 등을 통해 보다 보편적으로 지원하고 있음을 알려드립니다.
 나. 어린이집 보육료 전액 지원
  ○ 정부는 영유아보육법 제34조(무상보육)에 따라 어린이집 이용 영유아에 대한 보육을 무상으로 지원하고 있으며, 보육료는 소득수준에 관계없이 대한민국 국적을 가진 자로, 주민등록법에 의해 주민등록번호를 정상적으로 부여받은 0~5세반 대상 아동에게 지원하고 있음을 알려드립니다.
   - 보육료는 아동의 보호자로서 친권자,후견인 등이 아동 주민등록 주소지 관할 읍·면·동 주민센터를 방문하여 신청하거나 온라인(www.bokjiro.go.kr, 모바일 포함)을 통해 신청하신 후 지원 받으실 수 있습니다.
  ○ 또한, 정부는 '12년 5세를 시작으로 13년 3,4세까지 교육, 보육 공통과정인 누리과정을 유치원 및 어린이집을 다니는 유아를 대상으로 실시하고 있습니다. 이와 관련한 비용은 유아교육법 제24조 및 같은법 시행령 제29조에 따라 최대 3년을 지원할 수 있도록 규정하고 있습니다.
   - 제29조(무상교육의 내용 및 범위) ① 법 제24조제1항에 따라 초등학교 취학 직전 3년의 유아에 대하여 실시하는 무상교육은 매년 1월 1일 현재 만 3세 이상인 유아로서 다음 각 호의 어느 하나에 해당하는 기관에서 교육부장관과 보건복지부장관이 협의하여 정하는 공통의 교육·보육과정(이하 "공통과정"이라 한다)을 제공받는 유아를 대상으로 한다. 이 경우 유아가 받을 수 있는 무상교육 기간은 3년을 초과할 수 없다. 1. 유치원 2. 「영유아보육법」에 따른 어린이집 3. 그 밖에 교육부령으로 정하는 바에 따라 유아교육을 실시하도록 지정받은 기관 ② 1월 2일부터 3월 1일까지의 기간 중에 만 3세가 된 유아가 공통과정을 제공받는 경우에는 제1항 전단에도 불구하고 무상교육의 대상으로 본다. 이 경우 유아가 받을 수 있는 무상교육 기간은 3년을 초과할 수 없다.
3. 귀하의 질문에 만족스러운 답변이 되었기를 바라며, 답변 내용에 추가 설명이 필요한 경우 보건복지상담센터(☎ 129), 보육사업기획과(☎ 044-202-3563) 또는 보건복지부 출산정책과(☎ 044-202-3398)으로 연락 주시면 성실히 답변 드리겠습니다. 감사합니다.  끝.</t>
  </si>
  <si>
    <t>저출산문제 정자은행 위료보험으로 해결</t>
  </si>
  <si>
    <t>40대 중후반의 미혼남성 입니다
아직은 계획이 없으나 늦게라도 결혼을 하게 된다면
혹시 제 건강상의 문제로 아이를 가질수 없게 될지도 모른다는 걱정이 듭니다.
그래서 정자은행에 문의를 해봤더니 비보험
1년에 50만원 정도의 비용이 들더라고요..
1년이 될지 10년지 될지도 모르는데..
비용 부담이 크네요
만약에 의료보헌 혜택을 받을수 있다면
덜 망설일것만 같고..
저출산 문제에도 조금의 해결책이 되지 않을까요?</t>
  </si>
  <si>
    <t>정자.난자 은행비용 의료보험 혜택을 받을수 있도록
법 제도 개선</t>
  </si>
  <si>
    <t>저출산 문제와 늦은 출산의 안전</t>
  </si>
  <si>
    <t>1. 안녕하십니까? 귀하께서 국민제안을 통해 신청하신 제안요지는 '저출산 극복을 위한 지원 정책'에 관한 것으로 이해되며, 출산정책과에서 다음과 같이 안내드립니다.
2. 난임부부의 경제적 부담을 덜어드리고자 국민건강보험을 통해 소득 수준에 관계없이난임시술 비용을 지원하고 있습니다. 이와 함께, 지방자치단체에서 저소득층 및 일부 중산층에 대해 건강보험 본인부담금을 추가적으로 지원하는 '난임부부 시술비 지원사업'을 시행하고 있습니다.
 3. 난임시술 지원 범위는 시술에 따른 신체적 부담, 임상적 유효성, 비용부담 등을 고려해 설정된 것이며, 암이나 희귀난치성질환과 같은 중증질환도 유사한 취지로 건강보험 급여 횟수 제한을 설정하고 있습니다. 정부는 난임부부의 건강과 안전성을고려한 지원이 확대될 수 있도록 지자체와 협력할 것을 말씀드립니다.</t>
  </si>
  <si>
    <t>획기적인 저출산 해결책이 필요합니다.</t>
  </si>
  <si>
    <t>안녕하세요
지금 대한민국은 출산율 0.6명이라는 초유의 사태를 맞이하고 있습니다.
이제부터 출산율이 반등하더라도, 이미 지금의 세대는 태어났고, 과거와는 비교할 수 없이 적은 생산가능인구가 미래의 대한민국을 책임질 일은 변할 수 없는 미래입니다.
저는 20대 가장으로 남들보다 일찍 결혼을 했습니다.
남들처럼 부모님 도움으로 국평 아파트에서 시작한 것도 아니고, 서울시에서 가장 낙후된 도시 중 하나인 구로구 오류2동 언덕 꼭대기 집에서 신혼을 시작했습니다.
그 전까지 출산율은 단순히 집값이 원인이다 생각했습니다.
남들보다 조금 일찍 결혼한 후 아이가 생겼고 그 때부터 저출산의 원인을 뼈저리게 느꼈습니다.
제가 느낀 저출산의 원인과 그 해결책에 대해 이야기 하고자 합니다.</t>
  </si>
  <si>
    <t>1. 여성 육아휴직
제 아내는 대기업에 다녀 육아휴직을 사용할 수 있었습니다. 하지만 그 과정이 평탄했던 것은 아닙니다. 아무래도 회사 입장에서는 갑자기 대체인력을 구하기 힘들겠지요. 제 아내는 다행히 육아휴직을 임신 초기부터 사용할 수 있었지만, 다른 중소기업에 다니는 사람들은 육아휴직을 말처럼 쉽게 사용하지 못할 것입니다. 물론 저도 노동법에 육아휴직을 거부하면 사업주가 처벌받는 사실을 잘 알고 있습니다. 하지만 육아휴직 후 복귀할 회사에 사업주의 처벌을 요구하면서까지 육아휴직을 사용하기 힘들 것입니다. 그러면 정부는 해결책이 무엇입니까? 
여성 육아휴직을 의무화 시켜주십시오! 여성이 임신하면 의무적으로 1년 육아휴직을 주고, 무급인 경우 1년 연장을 시켜 최대 2년까지 육아휴직을 보장해야 합니다.
육아휴직 첫 1년은 고용보험에서 육아휴직 급여가 나오고, 출산 후 1년은 부모수당이 나옵니다.
국가에서 더 돈을 들일 필요도 없습니다.
이 기간은 육아휴직이 의무적으로 사용될 수 있게 해야합니다.
2. 언덕 인도 건설
 제가 살고 있는 오류 2동은 개웅산을 끼고 언덕 위 지대에 낡은 빌라, 단독주택 촌을 이루고 있습니다. 서울 시 내에서 가장 낙후된 도시 중 하나입니다. 이 곳에서 임신한 아내를 케어하며 뼈저리게 느낀 것이 있습니다. 언덕을 오를 때 인도가 없어 너무 위험합니다. 겨울에는 눈 내린 언덕 위를 내려오다 넘어질까 걱정되고, 인도와 차도 구분이 없으니 더 위험합니다.
 이러한 지형은 서울, 전국에 무수히 많습니다. 이러한 언덕의 인프라를 개선시켜야 합니다.
 언덕에 인도 설치를 추진하고, 언덕에 인도 설치가 불가능하다면 재건축 내지 재개발의 인센티브를 주어야 합니다.
 임신한 여자가 인도도 없는 언덕을 내려오기는 쉽지 않습니다.
3. 부부합산 소득세 시행
 지금의 소득세는 개인을 1 과세표준으로 삼고 적용합니다.
 그러면 가정주부의 역할은 국가가 인정하지 않는 것입니까?
 무조건 맞벌이로 모는 것이 국가의 역할입니까?
 배우자가 일을 안하면 단순히 인적공제 150만원이 전부입니다.
 심지어 인적공제는 세액공제도 아니라 소득공제입니다. 
 맞벌이 하면 애는 언제 낳고, 애는 누가 봐줍니까?
 부부합산 소득세가 절실합니다.
 한명이 육아를 이유로 일을 그만두어도 부부합산소득세가 시행되면 나라에서 간접적으로 도움을 주는 것입니다.
 결혼 중립성을 해칠 수 있다는 이유보다 지금의 출산율 0.6명을 해결하는 것이 더 급선무입니다.
 결혼 중립성은 국가가 결혼을 이유로 세금을 더 부과할 때 문제가 되는 것이지, 국가에서 결혼하는 기혼자에게 혜택을 주겠다는 것은 그 입법의 정당성과 공익의 영향 및 작금의 국가소멸 위기의 해결이 더 우선되므로 충분히 실현될 수 있는 일입니다.
4. 2차 역세권 용적률 인센티브
청년들은 돈이 없습니다. 
차도 없습니다. 
살 곳도 없습니다. 
하지만 미래가 있습니다. 
시간이 있습니다. 
희망이 있습니다.
역 주변은 낡은 빌라들이 즐비합니다.
물론 대다수는 매우 낙후된 빌라입니다.
주변에서 "한 번 빌라에서 살면 평생 빌라에서 살아야 한다."는 말을 자주 듣습니다.
타당한 말입니다. 재개발은 기약 없고, 재건축은 가능성이 없죠.
하지만 청년들은 시간이 있습니다.
당장 내가 사는 곳이 개발되지 않더라도 언젠가 개발될 희망이 있다면 신혼부부들은 빌라를 선택할 수 있습니다.
그러기 위해서는 정부가 작은 유인책 하나를 주면 됩니다.
2차 역세권 내 빌라가 소규모 재건축 또는 소규모 재개발을 추진하는 경우 종상향 (최대 3종)시켜주면 됩니다.
이미 서울은 1차 역세권 내 역세권복합개발시 최대 준주거로 종상향 시켜 용적률500%를 적용합니다.
여기서 좀 더 나가 1차 역세권이 아닌 2차 역세권은 최대 3종으로 종상향 시켜주면 청년들이 빌라에서 시작하는 것을 망설이지 않을 것입니다.
용적률 인센티브의 50%는 신혼부부 임대 주택 제공을 의무화 하면 그것도 신혼부부 주거 문제가 해결되므로 1석 2조입니다.
5. 동 별 공원 및 도서관 건설
빌라촌의 단점은 곳곳에 담배피는 사람들이 있다는 것입니다.
임산부는 산책할 곳이 없어 집안에만 있게 됩니다.
임신하는 기간 동안 갈 곳이 있어야 합니다.
동 별 공원, 도서관이 필요합니다.
6. 금연거리 지정
빌라촌은 곳곳에 담배피는 사람들이 많아 산책을 갈 수가 없습니다.
금연거리 지정이 필요합니다.
최소한 역 주변, 횡단보도 앞, 시장, 학교 근처는 금연이 되어야 하는 것 아닙니까?</t>
  </si>
  <si>
    <t>결혼 전 매일 산책을 다니던 제 아내는 결혼 후 못난 남편따라 언덕 위 낡은 집에 와서 외출할 떄마다 만나는 엄청난 언덕과 곳곳에 있는 흡연자 때문에 집 밖을 잘 나가지 않아 몸이 나빠졌습니다.
꼭 그 이유만은 아니겠지만 아이는 세상에 태어나지 못하고 일찍 하늘나라로 갔습니다.
4개월의 임신기간 동안 왜 이 나라가 저출산인가 뼈저리게 느꼈습니다.
대한민국의 노동환경, 주거환경, 인프라가 개선되어서 임산부도 편하게 외출하고, 산책하며, 신혼부부도 사람다운 곳에서 살 수 있는 대한민국이 되길 소망합니다.
감사합니다.</t>
  </si>
  <si>
    <t>1. 안녕하십니까? 귀하께서 신청하신 제안이 다부처 처리가 필요한 제안으로 지정됨에 따라, '6번, 금연거리 지정'에 대하여 국민건강증진법상 검토결과를 아래와 같이 안내드립니다.
2. 현재, 「국민건강증진법」제9조제6항에 따라, 어린이집 및 유치원 시설의 경계선으로부터 10미터 이내의 구역은 금연구역(일반 공중의 통행·이용 등에 제공된 구역)에 해당합니다. 교육시설 주변 금연구역은 오는 8.17일부터, 어린이집, 유치원, 초중고교 주변 30미터 이내 구역으로 확대 시행될 예정입니다.
 - 한편, '역 주변, 횡단보도 앞, 시장'은 본 법률에서 정한 금연구역 지정 대상에 해당하지 않습니다. 다만, 국민건강증진법 제9조제7항에 따라 지방자치단체가 조례를 통해 다수인이 모이거나 오고가는 관할 구역 안의 일정한 장소를 금연구역으로 지정할 수 있도록 규정하고 있어, 지자체 상황에 맞게 특정 거리 등을 금연구역으로 지정하고, 해당 구역에서 흡연 시 과태료를 부과하도록 조치하고 있습니다. 지자체 관할 구역 내 개별 금연구역의 지정 가능 여부 및 그 범위에 관하여는 금연구역 지정 및 관련 조치 권한을 보유하고 있는 관할 지자체(시·군·구 보건소)로 문의하여 주시기 바랍니다.
3. 답변드린 내용과 관련하여 추가 문의가 있는 경우는 보건복지상담센터(국번없이 ☎129) 또는 건강증진과(☎044-202-2825)로 문의주시면 성실히 답변드리도록 하겠습니다. 감사합니다.  끝.</t>
  </si>
  <si>
    <t>저출산대책의 한 방법</t>
  </si>
  <si>
    <t>현재 저출산 대책의 실효성이 많이 떨어진다는 의견은 다자녀가구에 대한 혜택이 많이 부족해서라고 생각합니다. 경제적으로 어려움이 많기에 결혼도 안하고 아이도 낳지않는 결과가 초래되고 있습니다. 출산가구가 집걱정만 안하고 경제활동 할수 있다면 자녀를 낳아 키울 생각을 한번이라도 더 할것 같은데요.</t>
  </si>
  <si>
    <t>취약계층에 국가유공자나 장애인과 차상위가구는 당연히 해당된다고 생각하는데 한부모가정까지 포함되어 있지않나요? 그런데도 다자녀가구는 왜 빠져있는지 생각해볼 문제 아닐까요? 취약계층에서 혜택보는 부분이 각종 공과금 뿐만이 아니라 취업을 하려해도 가산점이 주어지더군요. 그런데도 다자녀가구는 이렇다 할 혜택은 없으면서 자녀를 누가 낳으려할까요? 다각도로 고민해볼 부분이라 생각하기에 몇자 적어봅니다. 여유가 있어서 다자녀가구가 되는건 절대 아닙니다.</t>
  </si>
  <si>
    <t>취약계층에 다자녀가구도 포함해서 지원이 폭넓게 된다면 꼭 2~3명이 아니더라도 한명을 낳아 키우면서 두명, 세명도 생각할수 있으리라 생각합니다. 출산가구에 대한 실질적인 혜택은 저출산으로 인한 인구감소를 어느정도는 해결할수 있는 방안이 될듯합니다.</t>
  </si>
  <si>
    <t>1. 안녕하십니까? 귀하께서 국민신문고를 통해 제안주신 사항에 대해 검토한 결과를 보건복지부 인구정책총괄과에서 안내드리겠습니다.
2. 귀하께서 제안주신 사항은 '취약계층에 다자녀 가구'포함에 대한 사항으로 이해되며 이에 대해 검토한 결과는 다음과 같습니다.
ο 말씀하시는 '국가유공자' 는 '국가유공자 등 예우 및 지원에 관한 법률' 등에 그 대상과 보상 등을 명시하고 있으며 '장애인'의 경우, '장애인복지법' 등에서 그 대상과 권리 보호 등을 명시하고 있고, '차상위 계층'과 관련하여 '국민기초생활 보장법' 등에 그 정의와 급여의 특례 법위 등을 명시하고 있음을 알려드립니다.
ο 현재 다자녀지원 정책의 경우, 각 개별 법률의 입법 및 지원 취지를 고려하여 지원사업의 근거가 되는 각 법률에 기반하고 있으며, 각 법률의 입법 및 지원 취지가 상이하고, 특히 지자체의 경우, 인구유출 방지 및 유입유인, 재정여건 등 지자체 사정에 따라 지원 대상 및 수준을 조례마다 다르게 정하고 있으며, 이는 지자체 사정이 각기 다른 점을 고려할 필요가 있음을 알려드립니다. 
ο 다만, 다자녀 가구 등의 출산과 비용부담 등을 경감하기 위해 정부는 건강한 출산 지원과 비용 부담 경감을 위하여 임신·출산진료비 지원(국민행복카드 100만원), 고위험 임산부 및 미숙아·선천성 이상아 등에 대한 진료비 지원 및 건강보험을 통한 2세 이하 영유아 입원 진료비 본인부담면제, 15세 이하 아동입원진료비 5% 적용(일반환자20%) 등을 시행하고 있습니다.
- 더불어, 국민연금은 현재 출산한 국민연금 수급자에게 가입기간 추가지원 혜택을 드리는 제도인 "출산크레딧*"을 2008년 1월 1일부터 도입 운영하고 있습니다.
  * 출산크레딧 제도 
    ? (개요) 출산친화여건조성 및 여성가입자의 수급기회 확대를 위해 국민연금의 추가가입기간을 인정('08년)
    ? (인정기간) 둘째 자녀 12개월, 셋째 자녀부터 인 당 18개월 추가(최대50개월)
    ? (인정시점) 노령연금 수급권을 취득한 때
ο 또한, 첫만남이용권('24. 첫째아 200만원, 둘째아 이상 300만원), 부모급여('24, 만0세 100만원, 만1세 50만원) 및 아동수당(만7세까지 월10만원)을 지원하는 등 양육부담을 줄이기 위한 지원도 지속 확대하고 있으며, 
ο 이외에도 어린이집 이용을 하는 아동을 대상으로 보육료 지원, 어린이집·유치원·종일제 아이돌봄서비스 등을 미이용하는 취학 전 24~86개월 미만 전 계층 가정 양육 영유아에게   가정양육수당 등이 지원되고 있음을 알려드립니다. (교육부  소관) 
※ ('24년도 저출산대책 지원 확대 관련 참고) 보건복지부 홈페이지&gt;알림&gt;보도자료&gt;"임신·출산·양육이 행복하도록 2024년 정부지원이 대폭 확대됩니다." 
3. 저출산 정책에 관심을 갖고 소중한 제안을 해주심에 다시 한번 감사드리며, 정부는 체감도 높은 정책을 지속 발굴하고, 더불어 향후 정책을 수정·보완하는 과정에서 귀하의 민원 취지를 고려하도록 하겠습니다.
4. 귀하의 가정이 평안하시기를 바라며, 복지부 출산 양육 지원 사업 관련 문의사항은 보건복지콜센터(국번없이129)로 문의주시기 바라며 총괄적으로 보건복지부 인구정책총괄과(044-202-3691)에서 안내드렸습니다.  끝.</t>
  </si>
  <si>
    <t>1. 안녕하십니까? 답변이 늦어진 점 양해부탁드리며 귀하께서 국민신문고를 통해 제안주신 사항에 대해 검토한 결과를 보건복지부 인구정책총괄과에서 안내드리겠습니다.
2. 귀하께서 제안주신 사항은 '취약계층에 다자녀 가구'포함에 대한 사항으로 이해되며 이에 대해 검토한 결과는 다음과 같습니다.
  ο 말씀하시는 '국가유공자' 는 '국가유공자 등 예우 및 지원에 관한 법률' 등에 그 대상과 보상 등을 명시하고 있으며 '장애인'의 경우, '장애인복지법' 등에서 그 대상과 권리 보호 등을 명시하고 있고, '차상위 계층'과 관련하여 '국민기초생활 보장법' 등에 그 정의와 급여의 특례 법위 등을 명시하고 있음을 알려드립니다.
  ο 현재 다자녀지원 정책의 경우, 각 개별 법률의 입법 및 지원 취지를 고려하여 지원사업의 근거가 되는 각 법률에 기반하고 있으며, 각 법률의 입법 및 지원 취지가 상이하고, 특히 지자체의 경우, 인구유출 방지 및 유입유인, 재정여건 등 지자체 사정에 따라 지원 대상 및 수준을 조례마다 다르게 정하고 있으며, 이는 지자체 사정이 각기 다른 점을 고려할 필요가 있음을 알려드립니다. 
  ο 다만, 다자녀 가구 등의 출산과 비용부담 등을 경감하기 위해 정부는 건강한 출산 지원과 비용 부담 경감을 위하여 임신·출산진료비 지원(국민행복카드 100만원), 고위험 임산부 및 미숙아·선천성 이상아 등에 대한 진료비 지원 및 건강보험을 통한 2세 이하 영유아 입원 진료비 본인부담면제, 15세 이하 아동입원진료비 5% 적용(일반환자20%) 등을 시행하고 있습니다.
  - 더불어, 국민연금은 현재 출산한 국민연금 수급자에게 가입기간 추가지원 혜택을 드리는 제도인 "출산크레딧*"을 2008년 1월 1일부터 도입 운영하고 있습니다.
   * 출산크레딧 제도 
    ? (개요) 출산친화여건조성 및 여성가입자의 수급기회 확대를 위해 국민연금의 추가가입기간을 인정('08년)
    ? (인정기간) 둘째 자녀 12개월, 셋째 자녀부터 인 당 18개월 추가(최대50개월)
    ? (인정시점) 노령연금 수급권을 취득한 때
  ο 또한, 첫만남이용권('24. 첫째아 200만원, 둘째아 이상 300만원), 부모급여('24, 만0세 100만원, 만1세 50만원) 및 아동수당(만7세까지 월10만원)을 지원하는 등 양육부담을 줄이기 위한 지원도 지속 확대하고 있으며,
  ο 이외에도 어린이집 이용을 하는 아동을 대상으로 보육료 지원, 어린이집·유치원·종일제 아이돌봄서비스 등을 미이용하는 취학 전 24~86개월 미만 전 계층 가정 양육 영유아에게   가정양육수당 등이 지원되고 있음을 알려드립니다. (교육부  소관) 
    ※ ('24년도 저출산대책 지원 확대 관련 참고) 보건복지부 홈페이지&gt;알림&gt;보도자료&gt;"임신·출산·양육이 행복하도록 2024년 정부지원이 대폭 확대됩니다." 
3. 저출산 정책에 관심을 갖고 소중한 제안을 해주심에 다시 한번 감사드리며, 정부는 체감도 높은 정책을 지속 발굴하고, 더불어 향후 정책을 수정·보완하는 과정에서 귀하의 민원 취지를 고려하도록 하겠습니다.
4. 귀하의 가정이 평안하시기를 바라며, 복지부 출산 양육 지원 사업 관련 문의사항은 보건복지콜센터(국번없이129)로 문의주시기 바라며(보육료, 가정양육수당 등은 교육부 문의 필요), 총괄적으로 보건복지부 인구정책총괄과(044-202-3691)에서 안내드렸습니다.  끝.</t>
  </si>
  <si>
    <t>고아원(보육원)에서 고아(보육아동)분들이 생활하는 장소 전체 의무 CCTV 제도</t>
  </si>
  <si>
    <t>고아원(보육원)에서 여러가지 범법행위가 존재하게 된다.
 그러나 이에 따른 증거사료를 찾을 수 있는 경우가 힘들며 고아(보육아동)분들이 어떠한 범법행위에 따른 피해사실을 감당하고 있는지 파악하기 힘들게 된다.</t>
  </si>
  <si>
    <t>고아원(보육원)에서 고아(보육아동)분들이 생활하는 장소 전체 의무 CCTV 제도를 입법하여야 할 것이다.
 더 개선하고자 한다면 국방부 소속 보충예비역 2 인 1 조가 숙식을 해결하며 전국 고아원(보육원)에서 CCTV를 관리하여야 한다.</t>
  </si>
  <si>
    <t>고아원(보육원)에서 고아(보육아동)분들이 범죄의 피해상황을 걱정하지 않으며 밝고 건강한 삶을 영위하게 되어진다.</t>
  </si>
  <si>
    <t>1. 귀하께서 국민제안을 통해 요청하신 재심사에 대한 검토 내용을 다음과 같이 알려드립니다.
2. 귀하께서 재심사를 요청하신 사유는 '아동양육시설 생활아동 보호를 위한 CCTV 설치 의무화'로 기존에 심사한 제안의 내용과 그 본질은 유사하다고 이해됩니다.
3. 이에, 기존의 답변과 같이 생활 시설 내부에 CCTV 설치를 의무화하는 경우 사생활 침해 등 아동의 평온한 생활을 해칠 우려가 존재하기에 중장기적인 검토를 통한 신중한 접근이 필요함을 알려드립니다.
4. 아울러, 현재 보호대상 아동의 안전한 생활을 위해 지자체장 책임으로 아동보호전담요원이 보호중인 아동을 주기적으로 점검을 시행하고, 아동 및 시설종사자 교육을 실시하는 등 많은 노력을 기울이고 있습니다.
5. 귀하의 귀중한 제안에 감사드리며, 기타 문의 사항이 있으신 경우 보건복지부 아동보호자립과(044-202-3437)로 연락주시면 답변드리겠습니다.</t>
  </si>
  <si>
    <t>출산율과 유관가치관 전환</t>
  </si>
  <si>
    <t>출산율하락은 가족의 존재보다 개인의 사치와 사회의 압력을 중시하는 국민가치관과에 따름
이에대해 저보다 잘 설명하고 있는 아래의 링크참조부탁드립니다.
https://youtu.be/PI8BXatcTyE?si=GoJ8juUiPZ1Jlr9_</t>
  </si>
  <si>
    <t>존재주의로의 사회인식개선을 위한 정책이 필요
실질적인 변화는 개인으로부터 발현되기때문에 가족의 존재와 이타심의 가치를 강조하는 긍정적 사례소개 및 운동을 실시하고 이에 연계되는 경제적인 인센티브 제공</t>
  </si>
  <si>
    <t>현실을 중시하는 출산가능세대에게 표면적이고 경제적인 유인방법에 대해 비판받지않으면서 출산에 대한 내면적인 인식을 긍정적으로 전환</t>
  </si>
  <si>
    <t>1. 안녕하십니까? 보건복지부 인구정책총괄과입니다. 귀하께서 국민 제안을 통해 건의해주신 내용에 대한 검토 결과를 다음과 같이 알려드립니다.
2. 먼저 인구정책에 관심을 가지고 의견 주신 점에 대해 깊은 감사 말씀드립니다. 귀하께서는 저출산 문제 해결을 위해 가족의 존재와 이타심의 가치를 강조하는 긍정적인 사례를 소개하여 출산에 대한 인식을 긍정적으로 전환하는 것이 필요하다고 건의하신 것으로 이해됩니다. 
3. 저출산 문제 해결을 위해 출산의 인식을 긍정적으로 전환하는 것이 필요하다는 귀하의 의견을 검토해볼 필요가 있는 내용이라고 판단됩니다. 
  - 정부는 저출산 문제를 알리고 출산에 대한 긍정적인 인식 전환과 가족 친화적인 사회 분위기 조성을 위하여 정책 홍보와 인식 개선을 목표로 하는 영상을 활용하여 온라인 광고, TV, 옥외 광고 등을 진행한 바 있으며, 올해도 방송 매체를 활용한 홍보를 계획 중에 있습니다. 앞으로 건의하신 내용을 반영하여 저출산 문제 해결을 위해 다양한 매체를 통한 사회문화적 분위기 조성과 저출산에 대한 인식 개선 방안을 검토하도록 하겠습니다. 
4. 정부는 정책을 만들고 실천함에 있어서 국민의 의견을 충분히 반영할 수 있도록 더욱 노력하겠습니다. 아울러 보다 나은 정책을 만들기 위해 국민들과 지속적으로 소통하며 고민하겠습니다. 인구 정책에 관한 소중한 의견 주셔서 감사드리며, 기타 문의사항이 있으신 경우 보건복지부 인구정책총괄과(044-202-3373) 또는 보건복지부 콜센터(국번없이 129)로 연락주시면 안내드리겠습니다. 감사합니다.  끝.</t>
  </si>
  <si>
    <t>출산 및 육아관련 지원을 교육 이수자에게 지원하도록 해주세요.</t>
  </si>
  <si>
    <t>여러 아동 정책 지원이 있음에도 불구하고 저출산
부모 교육의 부족함으로 아동 학대 및 방임, 행동문제 아이들로의 성장</t>
  </si>
  <si>
    <t>태아일 때부터 지원되는 수당 및 혜택들을 필수 교육 과정을 이수한 자들에게 지원될 수 있도록 해주세요.</t>
  </si>
  <si>
    <t>1. 부모가 될 준비가 안된 상태에서 부모된 자들의 기본적인 양육과 부부관계가 원만해질 수 있는 지식들을 습득할 수 있는 기회 제공
2. 이로 인한 양육 스트레스 및 양육 과정에서의 어려움들 때문에 국가의 기초가 되는 가정이 와해 되는 부분 방지.
3. 아동과 양육에 대한 문제들로 방임과 학대등을 예방하고 이로 인해 트라우마 및 사회성 발달에 문제가 생기는걸 예방함으로써 추후 학령기 때 들어갈 지원들의 감소 효과
4. 부부상담을 필수로 하여 좀 더 인간적이고 한 가정이 원만하고 행복한 가정으로 성장해갈 수 있도록 하는 갈등 상황 해결 능력 향상 도모</t>
  </si>
  <si>
    <t>1. 안녕하십니까, 보육정책에 대한 귀하의 관심에 감사드립니다.
2. 귀하께서 출산 및 육아 관련 지원시 부모교육을 필수 이수하도록 할 것을 제안하신 것으로 이해됩니다.
3. 출산 및 육아 관련 지원은 보건복지부 출산정책과와 보육정책과에서 매년 발표하는 사업안내 지침에 따라 아동연령을 비롯한 지원조건을 충족하는 경우에 한해 이루어지고 있습니다. 제안해 주신 내용의 취지는 충분히 이해는 되지만, 부모교육을 각각의 지원정책과 결부하기는 어려울 것으로 판단됩니다. 다만 부모교육의 중요성이 갈수록 중요해지는 상황에 동감하고 앞으로 부모교육의 홍보나 컨텐츠 개발 등에 힘써 부모교육을 최대한 다수의 국민이 접하고 활용할 수 있도록 노력해 나가겠습니다.
4. 답변 내용에 대해 추가 문의사항이 있으신 경우 보건복지부 보건복지콜센터(국번없이 129) 또는 보건복지부 보육사업기획과(044-202-3569)로 연락주시면 친절히 안내해드리겠습니다. 감사합니다.  끝.</t>
  </si>
  <si>
    <t>고출산을위해 국민연금과연계</t>
  </si>
  <si>
    <t>저출산이  해결되지 못한 현재
다양한 아이디어로 국민의 사고와 인식을
바꾸기 위해선 국가에서 길을 열어 주어야
된다고 봅니다
수백조를 국가에서 혈세를 투입시켜도
해마다 출생인구가 줄어들고 있는 실정입니다</t>
  </si>
  <si>
    <t>얼마전에 국민연금에 대해 360분 토론 한적이 있습니다
답은 후배 후손들이 점점 줄어들기 때문에
그렇습니다 
그래서 국민연금과 연결시켜
결혼해서 자녀을 낳는 가정과
그리고 자녀수에 따라 국민연금을 받는  액수와  결혼만 했고 자녀가 없다든지
아예 결혼을 않했다든지 하면
국가에서 국민연금 액수를  차별화두어
자녀가 많을수록 국민연금을 많이 받는다든지 하는 기준을 정하면 또한 미혼과 기혼 차이에 따라 국민연금 지불하는 액수를 차별 하든지 국가에서  길을 만들어 국민이 스스로
결혼하고 자녀를 가져야만  자신에게
이익이 된다는 인식을 갖게 방편을
만들면 어떨까 고심해보고 이글을드립니다</t>
  </si>
  <si>
    <t>혼자 생각이며 국가에서
전문가를 통해 많은 연구를 하셔서
국민연금을 토대로 활용하는 방법을
많은연구를 하셔서
이보다 더좋은 아이디어를 내보셨어면
하는 마음으로 이글을 드립니다</t>
  </si>
  <si>
    <t>1. 안녕하십니까. 귀하께서 국민신문고를 통해 신청해 주신 제안(1AB-2404-0009390)에 대하여 다음과 같이 안내드립니다. 
2. 귀하의 제안 내용은 ‘자녀 출산자에 대한 국민연금 가산 혜택’으로 이해되며, 검토의견은 다음과 같습니다.
  가. 귀하의 제안과 같이 국민연금에서는 출산이라는 사회적으로 가치 있는 행위에 대하여 보상하고 노후소득보장을 실현하고자 하는 취지에서 ‘출산크레딧’ 제도를 운영하고 있습니다.
  나. 자녀의 수가 2명 이상이 되는 경우 국민연금의 노령연금 수급권을 취득한 때 자녀 수에 따라 국민연금 가입기간을 최대 50개월까지 추가로 산입하고 있습니다.
      * 예를 들어, 10년간 보험료를 납부하고 출산크레딧 대상 자녀가 2명인 경우 12개월의 가입기간을 추가 산입하여 132개월을 기준으로 노령연금액을 산정
  다. 아울러, 귀하의 제안 취지와 같이 저출산, 고령화 대책 마련의 필요성에 공감하고 있으며, 앞으로도 관련 제도 개선을 지속적으로 검토 예정임을 알려드립니다.
3. 국민연금제도에 관한 소중한 의견 감사드리며, 추가 문의사항은 국민연금공단 콜센터(☎국번 없이 1355) 및 보건복지상담센터(☎129) 또는 연금급여팀(☎044-202-3638)으로 문의주시면 성실히 답변드리겠습니다. 감사합니다.  끝.</t>
  </si>
  <si>
    <t>저희 며누리포함..첫째낳고 둘재 임신인데요
정규직이 아니다보니.육아휴직을. 못씁니다
그냥 집에서 둘째 낳을날만 기다리고 있어요
아이들 많이 나으려면
다른것.다 필요없어요
그냥 1세부터 18세 까지 매달 그냥.현금지원(50~70만원)을 해주셔야합니다
애들 수. 만큼이요
애 가지면.자영업하는사람이나 알바.소기업 다니는사람은 그냥 .아무것도 못받고 퇴직해야합니다
생활이 너무 어려워요!!!  모든 사람.공평이요
육아휴직 쓰는사람은 기존대로.
못쓰는사람은 
그냥 현금지원 해주세요
아니면 모두 똑같이 .주시고요
머리 맞대고 생각해주세요</t>
  </si>
  <si>
    <t>이하동문</t>
  </si>
  <si>
    <t>애 둘.셋 가지면 여자들은 꼼짝못해요
실질적인 도움주세요
월10 만원.땍도 없어요
1인당 50~70만원씩이요
그나만 도움이 됩니다</t>
  </si>
  <si>
    <t>안녕하십니까? 다부처지정건으로 귀하께서 국민신문고를 통해 제안주신 사항에 대해 검토한 결과를 다음과 같이 안내드리겠습니다.
2. 귀하께서 제안주신 사항은 저출산 완화를 위해 '현금지원 확대'에 대한 사항으로 이해되며, 이에 대해 정부의 저출산 정책방향에 대해 다음과 같이 안내드리겠습니다.
 ο 정부는 저출산 현상의 원인을 노동시장 격차, 불안정한 고용 증가, 교육 경쟁 심화, 높은 주택 가격, 일·가정 양립의 어려움, 돌봄 공백 등 사회경제적 요인, 전통적 가족제도, 국민인식 변화 등 문화 가치관 측면, 주출산 연령대 여성인구 감소, 혼인율 하락, 초혼연령 상승, 미혼 가구 평균 출생아수 감소 및 무자녀 비율의 인구학적, 사회구조적 요인 등 다양한 사회·경제·문화적 요인이 복잡하게 얽힌 결과로 판단하고 있습니다.
 ο 이에 정부는 '24.6.19. 대통령 주재 2024년 제1차 저출산·고령사회위원회를 개최하여 결혼·출산·양육이 장점이 될 수 있는 환경 조성 등을 주요과제로 한  「저출생 추세 반전을 위한 대책」* 을 발표한  바 있으며, 
     * (참고) 저출산고령사회위원회 홈페이지 &gt; 정책공간 &gt; 안건자료
  ο 저출생의 직접 원인이 되고 있는 ① 일·가정 양립 ② 양육 ③ 주거 등 3대 핵심분야 지원에 역량을 집중하고, 좋은 일자리 창출, 과도한 경쟁 완화를 위한 공교육 내실화, 지방균형 발전 등 구조적 요인에 대해서도 기재부, 복지부, 고용부, 교육부, 국토부 등 범부처 차원에서 지속적으로 대응해나갈 계획입니다.
  ο 더불어, 우리 부는 건강한 출산 지원과 비용 부담 경감을 위하여 임신·출산진료비 지원(국민행복카드 100만원), 고위험 임산부 및 미숙아·선천성 이상아 등에 대한 진료비 지원 및 건강보험을 통한 2세 이하 영유아 입원 진료비 본인부담면제, 15세 이하 아동입원진료비 5% 적용(일반환자20%) 등을 시행하고 있습니다.
   - 또한, 국민연금은 현재 출산한 국민연금 수급자에게 가입기간 추가지원 혜택을 드리는 제도인 "출산크레딧*"을 2008년 1월 1일부터 도입 운영하고 있습니다.
   * 출산크레딧 제도 
    ? (개요) 출산친화여건조성 및 여성가입자의 수급기회 확대를 위해 국민연금의 추가가입기간을 인정('08년)
    ? (인정기간) 둘째 자녀 12개월, 셋째 자녀부터 인 당 18개월 추가(최대50개월)
    ? (인정시점) 노령연금 수급권을 취득한 때
  ο 이외, 첫만남이용권('24. 첫째아 200만원, 둘째아 이상 300만원), 부모급여('24, 만0세 100만원, 만1세 50만원) 및 아동수당(만7세까지 월10만원)을 지원하는 등 양육부담을 줄이기 위한 지원도 지속 확대하고 있으며,   
 ο 이외에도 어린이집 이용을 하는 아동을 대상으로 보육료 지원, 어린이집·유치원·종일제 아이돌봄서비스 등을 미이용하는 취학 전 24~86개월 미만 전 계층 가정 양육 영유아에게   가정양육수당 등이 지원되고 있음을 알려드립니다.(교육부 소관)  
    ※ ('24년도 저출산대책 지원 확대 관련 참고) 보건복지부 홈페이지&gt;알림&gt;보도자료&gt;"임신·출산·양육이 행복하도록 2024년 정부지원이 대폭 확대됩니다." 
  ο 다만, 말씀주신 출산 정책과 관련하여 단순 현금성 지원 확대 등은 그간 확대된 수당의 효과성 평가, 국가 재정여건, 사회적 합의 등을 고려한 검토가 필요한 사항으로, 현재 지급 중인 비용지원의 지원효과 등을 분석한 결과를 기반하여 체감도 높은 방향으로 비용지원할 수 있는 방안을 지속 검토해 나가겠습니다.
3. 저출산 고령화 정책에 관심을 갖고 소중한 제안을 해주심에 다시 한번 감사드리며, 정부는 체감도 높은 정책을 지속 발굴하고, 더불어 향후 정책을 수정·보완하는 과정에서 귀하의 민원 취지를 고려하도록 하겠습니다.
4. 귀하의 가정이 평안하시기를 바라며, 복지부 출산 양육 지원 사업 관련 문의사항은 보건복지콜센터(국번없이129)로 문의주시기 바라며, 총괄적으로 보건복지부 인구정책총괄과(044-202-3691)에서 안내드렸습니다.  끝.</t>
  </si>
  <si>
    <t>저출산해결책</t>
  </si>
  <si>
    <t>저출산 해결법.hwp20240419_123114.jpg20240422_124721.jpg</t>
  </si>
  <si>
    <t>국민의 의식개선</t>
  </si>
  <si>
    <t>저츌산문제해소</t>
  </si>
  <si>
    <t>1. 안녕하십니까? 보건복지부 인구정책총괄과입니다. 귀하께서 국민신문고를 통해 건의해주신 내용에 대한 검토 결과를 다음과 같이 알려드립니다.
2. 먼저 인구정책에 관심을 가지고 의견 주신 점에 대해 깊은 감사 말씀드립니다. 귀하께서는 저출산 문제를 해결하기 위하여 부모와 웃어른을 존경하는 마음을 갖도록 강조하고, 국민 공모를 통한 저출산 대책 마련을 건의하신 것으로 이해됩니다. 
3. 저출산 문제를 해결하기 위하여 국민을 대상으로 부모와 웃어른에 대한 존경하는 마음을 갖도록 하고 국민 공모를 통한 저출산 대책 마련이 필요하다는 귀하의 의견은 충분히 검토해 볼 필요가 있는 내용이라고 판단됩니다. 
   ○ 정부는 저출산 문제를 알리고 출산과 양육에 대한 인식 변화와 가족 친화적인 사회 분위기 조성을 위하여 정책 홍보와 인식 개선을 목표로 하는 영상을 활용하여 온라인 광고, TV, 옥외 광고 등을 진행한 바 있으며, 올해도 방송 매체를 활용한 홍보를 계획 중에 있습니다. 
   ○ 앞으로 건의하신 내용을 반영하여 부모와 웃어른에 대한 존경하는 마음을 가질 수 있도록 하여 저출산에 긍정적인 영향을 미칠 수 있는 방안을 검토하도록 하겠습니다. 
4. 정부는 정책을 만들고 실천함에 있어서 국민의 의견을 충분히 반영할 수 있도록 더욱 노력하겠습니다. 아울러 보다 나은 정책을 만들기 위해 국민들과 지속적으로 소통하며 고민하겠습니다. 인구 정책에 관한 소중한 의견 주셔서 감사드리며, 기타 문의사항이 있으신 경우 보건복지부 인구정책총괄과(044-202-3373) 또는 보건복지부 콜센터(국번없이 129)로 연락주시면 안내드리겠습니다. 감사합니다.  끝.</t>
  </si>
  <si>
    <t>2010년 이전 출생자의 전수조사</t>
  </si>
  <si>
    <t>2010년 이후 병원에서 출산하였으나 출생신고가 되지 않은 아동에 대한 전수조사를 하였으나 2010년 이전 출생한 아동의 조사는 이루어지지 않고 있음, 이러한 아동 중에서도 출생신고가 되지 않아 유령아동으로 남아 있거나, 입양, 사망 등이 된 아동이 있을 수 있음</t>
  </si>
  <si>
    <t>2010년 이전 모든 출생한 영유아 및 아동에 대한 전수조사를 실시, 행방이 묘연하거나, 행방을 알 수 없는 아동에 대한 학대여부, 사망여부, 출생신고누락여부, 입양여부 등의 확인이 필요
확인 후 사망, 실종의 경우 사후처리 여부, 입양의 경우 입양 후 현재 상태, 주민등록상 신고사항 확인 등 조치</t>
  </si>
  <si>
    <t>2010년 이전 출생한 영유아, 아동에 대한 상황 파악 가능</t>
  </si>
  <si>
    <t>안녕하세요. 귀하의 제안에 답변드리도록 하겠습니다.
귀하께서는 2010년 이전 병원에서 출산하였으나 출생신고가 되지 않은 아동에 대한 전수조사를 제안하신 것으로 보입니다.
2010년 이후 출생신고가 되지 않은 아동에 대해서는 임시신생아번호(출생후 12시간 이내에 접종 기록 관리 등에 사용하는 번호)를 활용하여 조사를 하고 있으나,
2010년 전산시스템 구축 이전 출생 아동에 대해서는 실질적으로 전수조사가 어려움을 알려드립니다.
보다 궁금한 사항은 보건복지부 아동학대대응과 김두형주무관(044-202-3389)에게 연락주시면 상세히 설명드리도록 하겠습니다. 감사합니다.  끝.</t>
  </si>
  <si>
    <t>출산 장애인에 대한 활동지원 확대</t>
  </si>
  <si>
    <t>중증 장애인들에게 활동지원을 제공하고 있는데 청각장애 등 일부 장애인들은 혜택이 없습니다.
그러나 청각장애인이 출산을 하면 아이의 소리를 들어야 하는데 문제가 있습니다.
출산을 앞둔 2급 청각장애인이 저에게 방법을 물어보는데 건강보험공단에서는 청각장애는 지원대상이 아니라고 합니다.
출산이 절실한 우리나라에서 청각 또는 기타 장애인들이 출산후 몇개월이라도 활동지원을 받았으면 좋겠습니다.</t>
  </si>
  <si>
    <t>활동지원 비대상 중증장애인 출산후 3개월 활동지원</t>
  </si>
  <si>
    <t>출산과 초기 양육에 따른 부담 해소</t>
  </si>
  <si>
    <t>1. 안녕하십니까? 장애인활동지원 제도에 대한 관심과 문의에 감사드립니다.
2. 귀하의 제안은 ‘활동지원 수급자가 아닌 출산 장애인에게 일시적인 활동지원급여 제공을 요청’하는 제안으로 이해됩니다.
3. 귀하의 제안 내용에 대해 아래와 같이 답변을 드립니다.
 ○ 장애인활동지원서비스는 「장애인활동 지원에 관한 법률」에 따라 혼자서 일상 및 사회생활이 어려운 장애인에게 활동지원서비스를 제공하여 장애인의 자립생활을 지원하고 가족의 돌봄부담을 경감하는 서비스로,
  - 지원대상은 6∼65세 미만 등록 장애인(장애유형 및 등급 무관) 중 신체기능과 자립생활 능력 등을 평가한 서비스지원 종합조사 결과 수급자격(42점 이상)을 인정받은 사람인데, 활동지원 수급자 또는 수급자의 배우자가 출산한 경우 6개월 간 월 한도액을 추가로 지급하는 ‘특별지원급여’를 지급하고 있습니다.
  - 따라서 활동지원 수급자가 아닌 장애인에게 활동지원급여를 제공하는 것은 법률에 정한 지원대상의 범위를 넘어서는 것으로 수용할 수 없음을 안내해 드리니 양해하여 주시기 바랍니다.
  - 다만, 출산가정에 건강관리사를 파견하여 산모의 산후회복과 신생아의 양육을 지원하는 ‘산모·신생아 건강관리 지원사업’의 대상이 되는지를 가까운 읍·면·동 행정복지센터를 통해 확인해 보시기 바랍니다.
4. 앞으로도 정책단계별로 국민 및 관련 단체와의 소통 등을 통해 국민을 위한 수요자 중심의 복지정책 수립 및 제도개선을 지속적으로 추진해 나가도록 하겠습니다. 감사합니다.
붙임  국민제안신청서 1부.  끝.</t>
  </si>
  <si>
    <t>저출산 문제에 대한 정책 제안</t>
  </si>
  <si>
    <t>안녕하세요.
저는 양주에 거주하는 중2 중3 자녀를 둔 올해 환갑을 맞이한 두자녀의 아버지입니다.
제 경우에 우리 아이들이 대학교까지 졸업을 하려면 앞으로 약 10년후 쯤 될 것으로 보이고 그러면 제 나이가 70을 넘게 되지만 노후준비는 현실적으로 꿈도 꾸지 못할 상황이 됩니다.
현재 정부나 각 관련 단체에서는 출산율을 높이고자 하는 방안으로 현금성 지원이 주된 것으로 알고 있고 효율은 기대하는 것 만큼 나오지 않고 있습니다.
왜 출산율이 저조한지를 먼저 생각해 보면 지금 아이를 낳아서 키우다보면 나의 미래에 대한 불확실성 때문이라는 생각이 듭니다.
옛날 선조들께서는 아이를 낳아 기르는 목적이 가문을 번성하게 하고자 하는 목적도 있지만 노후의 보살핌을 받고자하는 노후연금의 성격도 있었다고 생각됩니다. 
그래서 1960년대까지 주로 장남이 자산의 대부분을 상속받고 부모님을 돌아가시기 전까지 부양합니다.</t>
  </si>
  <si>
    <t>그래서 제안 하고자 합니다.
첫째 출산연금제도를 도입하여 아이를 출산하면 노후에 연금을 지급하는 방안입니다.
둘째 양육연금제도 입니다. 
아이를 낳아서 기르는 일정기간(18세,20세,24세등)을 지정하여 노후에 연금을 지급하는 방안입니다.
출산연금제와 양육연금제에 대하여 각 점수를 부여하고 (예 : 1명 출산기준 부부 각 총점을 100점으로 하여 출산연금 28점 양육연금 20세 기준 월0.3점) 노후에 일정금액을 지급하는 방안입니다.
부부가 이혼을 하게되면 이혼한 시점을 기준으로 양육을 하지 않는 배우자가 양육비를 지급하지 아니하는 경우 해당 점수를 양육하는 배우자에게 귀속하게 한다면 충분하지는 않겠지만 그나마 노후에 약간의 보장이 되지 않을까 합니다.(양육비 청구소송 등 법적행위 발생시)</t>
  </si>
  <si>
    <t>노후에 자녀를 둔 부부가 더 안정된 생활을 할 수 있다면 젊어서 아이를 낳아 기르는 사람이 늘어날 것으로 기대되며 또한 인구가 늘어나게 되면 국민연금 납부가 늘게 되고 자연적으로 국민연금 재정은 건전해질 것으로 기대됩니다.
부강하고 건강한 대한민국을 위하여!</t>
  </si>
  <si>
    <t>1. 안녕하십니까? 귀하께서 국민신문고를 통해 제안주신 사항에 대해 검토한 결과를 다음과 같이 안내드립니다.
2. 귀하께서 제안주시는 사항은 "출산 이후 노후에 자녀를 둔 부부가 안정된 생활을 하기 위한 연금지급"에 대한 사항으로 이해되며, 정부의 저출산 정책방향에 대해 다음과 같이 안내드립니다.
 ο 정부는 저출산 현상의 원인을 노동시장 격차, 불안정한 고용 증가, 교육 경쟁 심화, 높은 주택 가격, 일·가정 양립의 어려움, 돌봄 공백 등 사회경제적 요인, 전통적 가족제도, 국민인식 변화 등 문화 가치관 측면, 주출산 연령대 여성인구 감소, 혼인율 하락, 초혼연령 상승, 미혼 가구 평균 출생아수 감소 및 무자녀 비율의 인구학적, 사회구조적 요인 등 다양한 사회·경제·문화적 요인이 복잡하게 얽힌 결과로 판단하고 있습니다.
 ο 이에 정부는 '24.6.19. 대통령 주재 2024년 제1차 저출산·고령사회위원회를 개최하여 결혼·출산·양육이 장점이 될 수 있는 환경 조성 등을 주요과제로 한  「저출생 추세 반전을 위한 대책」* 을 발표한 바 있으며, 
     * (참고) 저출산고령사회위원회 홈페이지 &gt; 정책공간 &gt; 안건자료
  ο 저출생의 직접 원인이 되고 있는 ① 일·가정 양립 ② 양육 ③ 주거 등 3대 핵심분야 지원에 역량을 집중 및 좋은 일자리 창출, 과도한 경쟁 완화를 위한 공교육 내실화, 지방균형 발전 등 구조적 요인에 대해서도 기재부, 복지부, 고용부, 교육부, 국토부 등 범부처 차원에서 지속적으로 대응해나갈 계획입니다.
  ο 더불어, 귀하께서 말씀하시는 연금지원과 관련하여, 국민연금에서는 현재 출산한 국민연금 수급자에게 가입기간 추가지원 혜택을 드리는 제도인 "출산크레딧*"을 2008년 1월 1일부터 도입 운영하고 있습니다.
     * 출산크레딧 제도 
    ? (개요) 출산친화여건조성 및 여성가입자의 수급기회 확대를 위해 국민연금의 추가가입기간을 인정('08년)
    ? (인정기간) 둘째 자녀 12개월, 셋째 자녀부터 인 당 18개월 추가(최대50개월)
    ? (인정시점) 노령연금 수급권을 취득한 때
  ο 이외에도 우리 부는 건강한 출산 지원과 비용 부담 경감을 위하여 임신·출산진료비 지원(국민행복카드 100만원), 고위험 임산부 및 미숙아·선천성 이상아 등에 대한 진료비 지원 및 건강보험을 통한 2세 이하 영유아 입원 진료비 본인부담면제, 15세 이하 아동입원진료비 5% 적용(일반환자20%) 등을 시행하고 있습니다.
  ο 또한, 첫만남이용권('24. 첫째아 200만원, 둘째아 이상 300만원), 부모급여('24, 만0세 100만원, 만1세 50만원) 및 아동수당(만7세까지 월10만원)을 지원하는 등 양육부담을 줄이기 위한 지원도 지속 확대하고 있으며, 
  ο 더불어 어린이집 이용을 하는 아동을 대상으로 보육료 지원, 어린이집·유치원·종일제 아이돌봄서비스 등을 미이용하는 취학 전 24~86개월 미만 전 계층 가정 양육 영유아에게 가정양육수당 등이 지원되고 있음을 알려드립니다.(교육부 소관)  
    ※ ('24년도 저출산대책 지원 확대 관련 참고) 보건복지부 홈페이지&gt;알림&gt;보도자료&gt;"임신·출산·양육이 행복하도록 2024년 정부지원이 대폭 확대됩니다."
3. 저출산 고령화 정책에 관심을 갖고 소중한 제안을 해주심에 다시 한번 감사드리며, 정부는 체감도 높은 정책을 지속 발굴하고, 더불어 향후 정책을 수정·보완하는 과정에서 귀하의 민원 취지를 고려하도록 하겠습니다.
4. 귀하의 가정이 평안하시기를 바라며, 복지부 출산 양육 지원 사업 관련 문의사항은 보건복지콜센터(국번없이129)로 문의주시기 바라며, 총괄적으로 보건복지부 인구정책총괄과(044-202-3691)에서 안내드렸습니다.  끝.</t>
  </si>
  <si>
    <t>고위험 질병 태아 치료 지원이 출산 이후인 것에 대한 지원 확충</t>
  </si>
  <si>
    <t>태아에 질병이 인지되었을 때, 부모로서 생존과 치료에 초점을 맞출 수 밖에 없다. 그러나 치료비에 대한 국가 지원금&lt;고위험태아/산모 지원금&gt; 또는 사기업&lt;태아보험&gt;등 모두 아이가 태어났을 때을 기준으로 지원이 된다. 따라서 아이를 살리기 위해 최선을 다했지만, 아이를 떠나보낸 유산 부부는 재정적 정신적 리스크를 오롯이 떠안게 된다. 이러한 상황에서 재정적인 부담으로 아이를 살리기 위해 최선을 다하지 못하는 가정이 많을 것으로 예상된다.</t>
  </si>
  <si>
    <t>사설 태아보험 및 정부의 고위험 태아 지원금 지원 기준을 출산 이후가 아닌 태아기간으로 확충이 필요하다. 아이를 살리기 위한, 치료를 위한 검사비, 치료비에 한하여 직접적인 지원이 필요하다.</t>
  </si>
  <si>
    <t>임신과 출산에 대하여 부담이 줄 것. 저출산 시국에 더구나  낳고자 애쓰는 가정에 대한 지원은 필수적이어야 한다.</t>
  </si>
  <si>
    <t>1. 안녕하십니까? 귀하께서 국민신문고로 제출하신 국민제안(1AB-2406-0001174) 중 보건복지부 소관 내용에 대해 회신드립니다. 
2. 귀하는‘고위험 임산부 의료비 지원 대상 확대’에 관해 제안하신 것으로 이해됩니다. 
3. 우리 부는 「고위험 임산부 의료비 지원」사업을 통해 19대 고위험 임신질환*으로 입원치료한 의료비(건강보험 급여 중 전액본인부담금과 비급여 진료비)를 지원하고 있습니다. 
  * 조기진통, 분만관련 출혈, 중증 임신중독증, 양막의 조기파열, 태반 조기박리, 전치태반, 절박유산, 양수과다증, 양수과소증, 분만전 출혈, 자궁경부무력증, 고혈압, 다태임신, 당뇨병, 대사장애를 동반한 임신과다구토, 신질환, 심부전, 자궁내 성장 제한, 자궁 및 자궁의 부속기 질환
4. 「고위험 임산부 의료비 지원」사업에서는 고위험 임신의 적정 치료·관리에 필요한 진료비 지원을 통한 건강한 출산과 모자건강 보장을 위해 분만결과 자궁내 태아사망 등으로 사산한 경우도 지원하고 있음을 안내드립니다. 
 - 고위험 임산부에 대한 보다 두터운 지원을 위해 '15.7월 고위험 임산부 의료비 지원 사업 시행 이후 지원대상 질환을 단계적으로 확대하고 '24년부터는 소득기준을 폐지하는 등 지원확대를 지속적으로 추진하고 있습니다. 
 - 우리부는 앞으로도 고위험 임산부의 의료비 부담경감을 위해 재정상황, 지원대상 및 수혜자 증감 추세, 의료비용 등을 종합적으로 고려하여 고위험 임산부 의료비 지원사업의 지원대상, 지원범위 확대 등을 지속적으로 검토해나가겠습니다. 
5. 귀하의 소중한 제안에 감사드리며, 관련 문의는 출산정책과(044-202-3394)로 연락주시기 바랍니다. 감사합니다.  끝.</t>
  </si>
  <si>
    <t>아기환영(출산지원정책) 패키지 정책 통일</t>
  </si>
  <si>
    <t>1. 혼재된 아기환영 정책
- 저출산이 사회문제가 된 이후, 출산 지원정책들이 많아졌으나, 각 지자체별, 부서별(아동,여성,보건 등) 정책이 혼재됨.
- 이에 신청자 입장에서 다소 복잡하고 혼란스러워 지원기준, 지원내역 등을 확인하는데 어려움이 있음.
- 또한 국가적으로 지원되고 있다는 실질적 정책 효능감에 대한 전달이 떨어짐.
2. 지자체별 지나친 경쟁과 다양한 기준 
 - 지자체별로 출산, 아기환영 정책들을 시행함으로써, 경쟁적인 정책을 쏟아내면서 재정적 부담뿐 아니라 소모적 정책 결정을 할 수 밖에 없음.
 - 이에 중앙정부의 아기환영(출산 지원정책) 정책이 통일성 있게 지원될 필요성이 있음.
3. 출산 준비에 대한 경제적 부담
  - 출산 전 아기를 맞이하기 위한 부담이 매우 증가하고 있고, 특히 경제적으로 어려움이 있는 가정의 경우 상대적인 부담이 훨씬 증가됨.</t>
  </si>
  <si>
    <t>1. "아가야 반가워"(가칭) 아기환영 패키지 실시
  - 모든 출생 아기들에게 국가에서 공통적으로 지급하는 아기 환영 패키지 일괄 시행
  - 아기 환영 패키지(현물 또는 현금 선택) + 보건서비스 일괄 제공
  - 예) 핀란드의 경우, 모든 출생 아동에게 고가의 출산패키지(아기용품들)를 지급하며, 현금으로 선택할 수도 있음. 
    패키지의 질도 매우 훌륭하고, 효율성이 있어 대부분 현금보다 출산 패키지를 선택한다고 함. 
2. 기타 지자체 별 출산 지원 정책은 부가적이고, 보충적으로 개발 지원 가능</t>
  </si>
  <si>
    <t>1. 국가적으로 출산에 대한 관심과 정책적 통일성 부여
   - 출산에 대한 관심을 정책적으로 매우 강조할 수 있으며, 지속적이고 일관된 출산 지원 정책에 대한 신뢰감 구축
2. 중앙정부와 지방정부의 균형있는 정책 분담
  - 출산 지원정책의 통일성을 유지하여 혼재된 프로그램이나 서비스들에 대한 혼란을 최소화
  - 지자체별 특성 있는 지원은 유지할 수 있도록 함으로써 중앙정부와 지자체의 균형있는 역할분담 강조
3. 아기를 국민의 한 사람으로서 맞이하는 국가적 환영의 의미 전달 
  - 출산을 아기의 관점에서 한 명의 국가 구성원의 첫 탄생을 축하하고, 출산 가정과 아동에 대한 기쁨과 환영의 의미를 전달할 수 있음.
4. 출산 준비 비용 절감
  - 출산 준비에 대한 재정적 부담을 경감 시키고, 출생 아동이라면 누구나 건강하고 안정적으로 유아기를 보낼 수 있도록 지원 가능</t>
  </si>
  <si>
    <t>1. 안녕하십니까? 귀하께서 국민신문고로 신청하신 제안(1AB-2406-0004552)에 대하여 회신 드립니다.
2. 귀하께서는 '출산 관련 지원 정책 통합 지원'을 건의하신 것으로 이해되며 아래와 같이 답변을 드립니다.
 ○ 정부는 '함께 일하고 함께 돌보는 사회 구축'을 위해 「제4차 저출산고령사회 기본계획」을 수립·발표('20.12월)하였으며, 향후 5년간 추진할 중장기 계획의 핵심사업으로 출생·육아에 따른 경제적 부담 경감을 위해 시행하는 영아기 집중투자(부모급여, 첫만남이용권(바우처), 임신출산의료비 확대 등) 사업을 시행하고 있습니다. 우리 부에서는 출산·육아에 따른 경제적 부담을 경감하기 위하여 아래와 같이 지원을 하고 있습니다.
  - 임신·출산진료비바우처: 임신,출산 의료비 바우처 100만원 지원(다태아임산부는 140만원 지원)
  - 부모급여: ('24) 매월 만 0세 100만원, 만 1세 50만원
  - 첫만남이용권 지원: ('24) 첫째아 200만원, 둘째아 이상 300만원
  - 아동수당: 8세 미만 모든 아동에 대해 매월 10만원
 ○ 귀하께서 예를 든 핀란드의 베이비박스의 경우 베이비박스 또는 170유로(25만원 상당)를 선택하여 지원을 하고 있습니다. 정부는 첫만남이용권을 통해 생애초기에 필요한 물품을 선택하여 구매할 수 있도록 지원하고 있습니다.
 ○ 출산지원 정책은 중앙정부와 지자체 공동사무로서, 국가는 보편적인 사업을 통해 지원을 하고 있으며, 지자체는 해당 지자체의 인구구조 및 재정여건 등을 고려하여 조례를 통해 자율적으로 시행하고 있습니다. 중앙정부와 지자체가 수행하고 있는 출산 관련 정책은 개별적인 목적을 가지고 수행하는 것으로 모든 지자체 출산지원 정책을 통합하여 지원하는 것은 지방자치제도 취지와 맞지 않다고 판단합니다. 
3. 답변 내용에 대한 추가 문의사항이 있으신 경우 보건복지부 보건복지콜센터(국번없이 ☎ 129) 또는 출산정책과(☎ 044-202-3398)로 연락주시면 성실히 답변 드리겠습니다. 감사합니다.  끝.</t>
  </si>
  <si>
    <t>저출산 관련 임산부 복지혜택 증진 개선안</t>
  </si>
  <si>
    <t>현재 대중교통을 비롯 주차장 등에 임산부 배려석이 곳곳에 마련되어 있지만 아직 그 배려석을 당당하고 떳떳하게 이용하기가 결코 쉽지만은 않은 상황입니다.
예를들면, 사람이 붐비는 시간 대에 지하철 임산부 배려석에 앉고자 하여도 임산부가 아닌 사람이 자리에 앉아 비켜주지 않으면 양해를 구할 순 있지만 기착석자의 양보가 의무는 아니기에 눈치를 봐야합니다. 또한, 주차장의 경우에는 임산부 배려석이 있다하여도 이 또한 강제성이 전혀 없기에 ‘아무나‘ 주차를 해두어도 뭐라할 수 없으며 정말 가까운 곳에 주차가 필요한 임산부의 경우 먼 곳에 주차를 해야하는 상황이 종종 연출됩니다. 
시민의식이 좀 더 개선돼야 하고 그만큼 모두가 의식을 개선하고 동참해야하나 이 또한 마땅치않고 하루아침 사이에 쉽게 바뀌기도 힘든 현실이죠.</t>
  </si>
  <si>
    <t>대중교통 / 임산부 배려석에 임산부 배지가 없는 자가 착석하여 자리를 비켜주지 아니할 경우 단속대상이 되게끔 관련 법안을 마련해주세요.
----------
주차장 / 장애인 주차구역처럼 임산부 배려석도 법적으로 강제성을 띄워 임산부 스티커가 없거나 배지가 없는 차량은 주차할 수 없도록 해주세요. 또는 장애인 주차구역에 임산부 차량까지도 주차할 수 있게끔 범주를 넓혀주세요.(현실적으로 장애인 주차구역에 장애인 차량이 꽉 들어찬 곳도 다소 있지만 대부분은 여유공간이 남아돌기 마련입니다)</t>
  </si>
  <si>
    <t>국가적 측면으로 봤을 때 인구감소, 인구붕괴 등 저출산에 대한 심각한 문제가 대두되고 있고 국가에서 지원해주는 임산부에 대한 복지혜택도 늘고있지만 실효성에 대해선 여전히 의문입니다. 정말 당연하고 사소하게 여겨지는 부분에서 혜택을 수혜할 수 있게 해주고 정책, 법안을 바꾼다면 이게 진정한 ‘저출산 대책’이 아닐까 생각합니다.
장애인 주차구역에 임산부 스티커가 부착된 차량도 주차할 수 있게 법이 개정된다면 이야말로 정말 와닿는 편리한 복지이며 저출산 대책 중 하나로 결코 간과할 수 없는 큰 혜택이 되지 않을까 생각합니다.</t>
  </si>
  <si>
    <t>1. 안녕하십니까? 귀하께서 국민신문고를 통해 제안하신 민원에 대하여 검토 후 다음과 같이 답변드립니다.
2. 귀하의 제안 요지는 '임산부 배려석 개선'에 관한 것으로 이해됩니다.
3. 보건복지부는 임산부 배려 문화 조성의 일환으로 2013년부터 교통사업자와 협력하여 기존 교통약자석*과 별도로 지하철 내 임산부 배려석을 운영·확대 중에 있으며, 임산부 배려 엠블럼(가방고리 등)을 임산부에게 지급하여 이를 소지한 임산부가 공공장소에서 배려받을 수 있도록 지하철 내 안내방송, 라디오 방송, 캠페인 등을 지속적으로 실시하고 있습니다.
  * 「교통약자 이동편의 증진법(국토교통부)」에 따라 도시철도에 사용되는 차량의 10분의 1 이상에 해당하는 부분을 교통약자 전용구역으로 배정하고 있으며, 교통약자란 장애인, 고령자, 임산부, 영유아를 동반한 사람, 어린이 등 일상생활에서 이동에 불편을 느끼는 사람을 말합니다.
4. '임산부 배려석 지정 설치' 등은 여러 관계기관 및 교통사업자와 협의가 필요하며, 다른 교통약자와의 형평성, 추가 예산 및 관리 인력 소요 등 종합적인 고려가 필요한 사안임을 양해하여 주시기 바랍니다. 귀하의 의견은 향후 관련 정책 추진 시 함께 검토할 수 있도록 하겠습니다.
5. 보건복지부는 임산부 배려 문화가 잘 정착될 수 있도록 국민인식 개선을 위해 더욱 노력하겠습니다. 답변에 대한 추가 설명이 필요하신 경우 보건복지부 출산정책과(044-202-3396)로 문의하시면 안내드리도록 하겠습니다.  끝.</t>
  </si>
  <si>
    <t>저는 장애인활동보조사로 일을 하고 있는데 젊은 여성들에게 아이가 형제나 있으면 아이나 자라기가 더 좋은 환경이 되지 않을까 라고 얘기를 하면 둘째 아이가 만삵에 가까워지고 어린이 집에 갈수 있을때까지 돌봐 줄 사람이 없어 아기를 가질수 없다는 말을 많이 들어요</t>
  </si>
  <si>
    <t>첫째 아이가 경증인 장애가 있으면 돌봐 줄수사람이 없다는게 문제인것 같아요 장애인에 대한 복지제도가 있다고 하지만 현실에는 턱없이 부족한 형편이에요
이 또한 해결하는게 출산률을 높이는데 도움이 되지 않을까요</t>
  </si>
  <si>
    <t>장애는 지금 살고 있는 환경적인 문제가 더 많은것 같은데 장애아이를 있어도 국가에서 책임질수 있다는 정책을 보이면 출산에 더 많은 기여도가 있지 않을까요</t>
  </si>
  <si>
    <t>1. 안녕하십니까? 귀하께서 국민신문고를 통해 신청하신 제안사항(신청번호:1AB-2406-0010472)에 대한 검토결과를 다음과 같이 알려드립니다.
2. 귀하의 제안은 ‘저출산 문제 해소를 위한 장애아동 돌봄 정책 확대’로 이해됩니다.
3. 귀하께서 제출하신 제안 내용에 대해 아래와 같이 답변드립니다.
 - 우리 부에서는 장애아 가정의 돌봄 부담 경감 및 그 가족에 대한 지원을 위한 시책으로 ‘18세 미만의 중증장애아동을 대상으로 연 1,080시간 범위 내에서 학습, 놀이활동, 안전, 신변보호 처리, 외출지원 등의 전문적인 돌봄서비스을 제공’하는 ‘장애아가족 양육지원 사업’을 시행하고 있습니다. 
 - 또한, ‘장애의 정도가 심하지 않은 장애인(경증, 기존 4~6등급) 아동에게도 돌봄을 제공’하는 아이돌봄서비스를 지원(여성가족부 소관)하고 있다는 점을 알려드립니다.
 - 아울러, 장애아 자녀 양육에 어려움을 겪는 가정에 보육, 교육 등 지원을 위해 ‘장애아 보육료 지원’, ‘장애아동 양육수당’, ‘발달장애인 가족휴식지원’, ‘발달장애인 부모상담지원’, ‘발달장애인 긴급돌봄’ 등의 사업을 시행하고 있습니다. 
4. 귀하께서 제안해주신 장애아동에 대한 지원이 저출산 해결에 도움이 될 것이라는 의견에 충분히 공감하며 앞으로 장애아동의 돌봄 확대를 위하여 적극 노력 하겠습니다.
5. 우리 부의 복지제도에 관심을 가져주신 것에 감사드리며, 다른 문의 사항이 있으신 경우에는 보건복지상담센터(국번없이 129)로 문의주시면 성심성의껏 답변드리도록 하겠습니다. 감사합니다.  끝.</t>
  </si>
  <si>
    <t>임신출산바우처 지급대상 기준 변경 제안</t>
  </si>
  <si>
    <t>현재 임신·출산진료비 바우처는 대한민국 국민임에도 국외출산을 하게 된 경우 혜택을 받지 못하고 있습니다.
임신출산 바우처의 목적이 임신출산 관련 의료비 부담을 경감하고 건강한 태아를 분만할 수 있도록 관련 진료비 및 약제 구입비를 지원하는 것으로 알고 있는데, 현재 지급대상 기준이 「국민건강보험법」제42조에 따른 요양기관에 소속된 「의료법」제77조에 따른 산부인과 전문의가 임신ㆍ출산 사실을 확인(또는 「의료법」제6조에 따른 조산사가 출산 사실을 확인) 한 경우에 한하여 지급하는 것으로 명시되어 있기 때문에 국외출산자는 혜택을 받지 못하고 있습니다.
국외에서 출산한다는 것이 힘들고 어려운 과정이고 비용도 국내에서보다 많이 들게 되는데, 그럼에도 국외출산을 선택하게 되는 부득이한 상황들이 있습니다. (해외파견 중 출산, 혹은 이전 코로나 시기에 국내 입국을 못하던 경우의 출산 등)
비록 국외에서 출산했지만, 대한민국에 출생신고를 하고 대한민국 국민으로서 자라날 아이인데, 국외에서 태어났다는 이유 하나만으로 혜택을 받지 못하는 것이 박탈감과 소외감이 큽니다. 비용부담도 한국에서보다 훨씬 커서 주기적 검사나 진료도 선별적으로 하게 됩니다.
이에 지급대상 기준 변경을 제안드립니다.</t>
  </si>
  <si>
    <t>국외출산의 경우에도, 대한민국에 출생신고를 하고 주민등록번호를 발급받은, 건강보험에 가입된 대한민국 국민이라면 동일하게 혜택받을 수 있도록 관련조항을 개정하길 제안드립니다. (부모급여나 아동수당 등의 지급대상 기준을 참고)</t>
  </si>
  <si>
    <t>1. 국외출산 자국민이 느끼는 상대적 박탈감과 소외감을 해소하고, 대한민국 국민으로서 자부심을 느낄 수 있음
2. 국외출산 자국민의 임신출산 관련 의료비 부담을 경감하여 산모와 태아 모두 적절한 진료와 처방을 받게 하고, 건강하게 출산할 수 있도록 도울 수 있음
3. 저출산 위기가 심각한 상황에서 출산을 장려하는 효과를 줄 수 있음</t>
  </si>
  <si>
    <t>1. 안녕하십니까? 귀하의 민원은 해외에서 출산한 사람에 대해서도 임신출산진료비 바우처 지원을 요청하시는 것으로 이해되며, 다음과 같이 답변 드리겠습니다.
2. 건강보험 임신출산진료비 바우처는 산전진찰 급여 확대를 통해 임산부가 건강한 태아를 분만할 수 있도록 하기 위한 제도로, 바우처 신청을 위해서는 임산부의 임신·출산 사실 확인이 필요합니다.
 - 임산부의 임신·출산 사실 확인은 「국민건강보험법」제42조에 따른 요양기관에 소속된 「의료법」제77조에 따른 산부인과 전문의가 할 수 있으므로, 해외에서 출산한 경우 건강보험 임신출산진료비 바우처 신청이 어려움을 양해해 주시기 바랍니다.
3. 임신출산진료비 바우처 제도와 관련한 답변에 대하여 더 궁금한 사항이 있으신 경우 보건복지부 보험급여과(044-202-2735) 또는 국민건강보험공단(1577-1000)으로 문의하시면 안내해 드리겠습니다. 감사합니다.</t>
  </si>
  <si>
    <t>저출산 심각한문제</t>
  </si>
  <si>
    <t>지원금이 전부는 아니고 그걸론 근본적인 문제해결은 어렵다고 생각합니다.
IMF시대때도 결혼과 출산은 해왔고 그때만해도 문제가 크지않았으니깐요</t>
  </si>
  <si>
    <t>대책 마련에 앞서
어제20일자 ebs에서 방영한 창사특집..조앤윌리암스와 대화..한번 시청해보심 좋을것같습니다.
아이를 낳지않는게아니라 아이에게 해줄수없어 못낳는다는 정곡을 찌를는 말도 나옵니다.</t>
  </si>
  <si>
    <t>근본적 문제가 무엇인지 방향성은 알수있을거 같습니다.
효율적 지원으로 잘못된 비용은 바로잡고 옳바르게 정책자금이 쓰일수 있을것같고
국민들에게 더 체감이될 정책이 마련될수 있을것으로 기대됩니다.</t>
  </si>
  <si>
    <t>1. 안녕하십니까? 귀하께서 국민신문고를 통해 제안주신 사항에 대해 검토한 결과를 보건복지부 인구정책총괄과에서 안내드리겠습니다.
2. 귀하께서 제안주신 사항은 체감도 높은 저출산 정책 마련 필요성에 대해 제안주신 사항으로 이해되며 정부의 저출산 정책 방향에 대해 다음과 같이 안내드리겠습니다.
 ο 정부는 저출산 현상의 원인을 노동시장 격차, 불안정한 고용 증가, 교육 경쟁 심화, 높은 주택 가격, 일·가정 양립의 어려움, 돌봄 공백 등 사회경제적 요인, 전통적 가족제도, 국민인식 변화 등 문화 가치관 측면, 주출산 연령대 여성인구 감소, 혼인율 하락, 초혼연령 상승, 미혼 가구 평균 출생아수 감소 및 무자녀 비율의 인구학적, 사회구조적 요인 등 다양한 사회·경제·문화적 요인이 복잡하게 얽힌 결과로 판단하고 있습니다.
 ο 이에 정부는 '24.6.19. 대통령 주재 2024년 제1차 저출산·고령사회위원회를 개최하여 결혼·출산·양육이 장점이 될 수 있는 환경 조성 등을 주요과제로 한  「저출생 추세 반전을 위한 대책」* 을 발표한 바 있으며, 
     * (참고) 저출산고령사회위원회 홈페이지 &gt; 정책공간 &gt; 안건자료
  ο 저출생의 직접 원인이 되고 있는 ① 일·가정 양립 ② 양육 ③ 주거 등 3대 핵심분야 지원에 역량을 집중 및 좋은 일자리 창출, 과도한 경쟁 완화를 위한 공교육 내실화, 지방균형 발전 등 구조적 요인에 대해서도 기재부, 복지부, 고용부, 교육부, 국토부 등 범부처 차원에서 지속적으로 대응해나갈 계획입니다.
3. 저출산 고령화 정책에 관심을 갖고 소중한 제안을 해주심에 감사드리며, 정부는 체감도 높은 정책을 지속 발굴해나가겠습니다.
4. 귀하의 가정이 평안하시기를 바라며, 복지부 출산 양육 지원 사업 관련 문의사항은 보건복지콜센터(국번없이129)로 문의주시기 바라며, 총괄적으로 보건복지부 인구정책총괄과(044-202-3691)에서 안내드렸습니다.  끝.</t>
  </si>
  <si>
    <t>출산 정책 개선 방안 ( 수익자 원칙 고려 등)</t>
  </si>
  <si>
    <t>1. 현실태
 - 출산 장려를 위해 각 지방단체별 출산 장려 지원금이 각색다양 차이점이 많아 일반 국민들의 정보 수집에 곤란함.
 - 출산 장려 지원금의 지방별 금액의 차별성
 - 각 교육관련 단체 과 각 기업체 등의 인원 수급의 어려움.
 - 아기를 낳음으로써 노화 및 건강 유지 관리에 해로움 보다 이로움이 많다는 의료 지식 교육 필요 (수명연장과 2세 출산 및 건강에 미치는 실익 정도 홍보나 교육이 전무함.)</t>
  </si>
  <si>
    <t>1. 자녀 출산 장려금 외 매월 자녀 수당 인상 및 각 기업체에서도 자녀 수당 지급
   - 1명 일때 1인당 50만원 2명 일때 100만원, 3명 일때 200만원 지급 토록 법으로 제정 및 소급적용
   - 위 자녀 수당은 공무원(최광의의 공무원) 및 공공기간 은 국가에서 부담
   - 일반 사업장에서는 위 수당금액을 우선 사업주가 부담하되. 50%을 국가에서 지원금으로 배당  
      관련법 공표와 동시에 적용함.
2. 미혼모 출산시
   - 각 지방자치단체에서 1명일때 매월 100만원, 
3. 교육비 전액 국가 지원 ( 나이제안 삭제,  전액 지원)
    - 교육비 전액 무상 지원 (개인에게 지급하지 아니하고 해당 교육기간에 예산 배정
4. 의료비 공간 부담외 개인부담금을 국가에서 지원  ( 출생부터 20세까지)
  - 진료비 중 의료공단 부담금과 개인부담금으로 구분 된 금액중   국가에서 개인부담금액의 50% 지원
 5. 교통비 지원
   - 버스. 지하철 . 항공비 요 금 50 % 감면  ( 출생부터 20세까지)
 6, 공원 및 영화관 입장료 50% 감면 ( 출생부터 20세까지)
  7. 출산으로 인한 노화 와 건강관리의 효율성 및 관련 좋은점과 나쁜 점 홍보 및 제약사에서 홍보 광고, 의무교육 실시 
  - 각 기업체 근로자 채용시 2시간 이상  전문가 또는 관련 전공과목 이수자 초빙 교육실시 
  - 공무원 및 공공단체 직원 채용시 4시간 이상 전문가 초빙 상설교육 의무화 
  - 건강식품 제조 , 판매 업체는 출산 장려 관련 전공과목 이수자 1명이상 채용하여 관련 업체에 분기별 1회 파 
    견교육 실시 (출산에 따른 건강관리  등 교육 및 자료  배포)
  8. 저출산 강요 정책 자료 및 문구와 광고 관련 삭제 및 사과 방송 관련자 과 반성문 제출 공개
   9. 반려견 보다 내 자식을 키워서 가정생활의 화목과 대한민국 보존에 미치는 영향 비교 교육 당분간 매월 1시간 실시 (동물의 번식력 비교 교육)
  10 자녀 부양비와 반려견 키움에 소요 되는 비용이 동일하게 지출되는 것으로 생활비 부담 고충해소  교육
     (각종 지원금과 교육. 의료 등 지원 등 비교 교육실시)
  11. 핵가족 보다 대가족이 가정생활에 유익한 점  교육 관련자료 홍보
  12. 반려견 보다 내 자식을 낳아 나의 뛰어난 인간 DNA 줄기세포 번식에 참여 하는 홍보물 교육 강화
  13. 국가 존립의 중요성, 국토방위를 인한 인재의 필요성 . 사업장에 구인난의 심각성 교육</t>
  </si>
  <si>
    <t>1. 출산에 따른 노화 증세가 둔화 되는 효과 기대
2. 반려견 보다 내 자식을 낳아 나의 뛰어난 인간 DNA 줄기세포 번식에 참여 하는 홍보물 
3. 자녀 부양 가구 확대 
4. 구인 난 해소에 도움 ,
5. 출산에 따른 나쁜 건강관리의 새로운 교육으로 핵가족시대에서 대가족으로 변화
   개인 이기적인 사고 감소 효과
6. 휴전 중인 나라 현역병 모집에 유리
7.개인 이기적 사고 감소 
8. 더불어 잘 사는 사회 건설에 기여</t>
  </si>
  <si>
    <t>1. 안녕하십니까? 귀하께서 국민신문고를 통해 제안주신 사항은 다부처지정건으로 우리 부 소관사항에 대해 검토한 결과를 다음과 같이 안내드리겠습니다.
2. 귀하께서 제안주시는 사항 중 저출산 완화를 위해 의료비의“본인부담금 경감”에 대하여 보험급여과(044-202-2741)에서 답변드립니다.
  ο 현재 건강보험 입원환자의 본인부담률은 신생아는 면제, 15세 이하 아동은 5%를 적용받고 있으며(일반환자 20%), 외래환자 본인부담률의 경우 1세 미만은 종별에 따라 5~20%, 1세 이상 6세 미만은 일반환자의 70%를 적용받아 일반 환자 대비 경감된 수준에서 본인부담률이 적용되고 있으며, ’24년 1월 2세 미만 영아 입원 시 본인부담률을 획기적으로 개선하여 건강한 성장을 지원하기 위하여 최근 2세 미만 영아의 입원진료 시 본인부담률 면제하였습니다.
  ο 현재, 건강보험은 국민의 질병, 부상 등에 대하여 보험급여를 실시함을 원칙으로 하되, 국민이 부담하는 보험료와 국고지원액을 재원으로 하는 건강보험제도에서 한정된 재원으로 최적의 건강보험 급여를 하기 위하여 국민의 부담 수준, 국가재정 여건 등을 고려하여 건강보험 적용을 받는 급여 내용과 우선순위를 정하여 운영하고 있습니다.
  ο 국민께서 내어주신 소중한 보험료라는 한정된 재원으로 국민에게 효과적ㆍ효율적으로 돌려드려야 함에 따라 모든 연령대, 모든 질환 및 치료에 대해 전체 급여 적용해 드리지 못함을 이해해 주시기 바라며, 귀하의 건의 내용에 대하여는 향후 국민부담 수준, 보험재정 여건 등을 고려하여 건강보험 보장성 확대를 위하여 적극적으로 최선을 다해 노력하겠습니다.
3. 귀하께서 제안주시는 사항 중 출산장려금 외에 자녀 수당 인상과 관련하여 아동정책과에서 안내드리겠습니다.
  ο 정부는 아동 양육의 경제적 부담을 경감시키고 아동의 건강한 성장환경을 조성하여 아동의 기본적 권리와 복지 증진을 위해 2018년 9월 아동수당을 도입해 현재 8세 미만 모든 아동에 대해 매월 10만원 아동수당을 지급하고 있습니다.
  ο 아동수당 지원 확대는 재정소요를 감안하여 사회적 논의를 거쳐 법률 개정을 통해 실행 가능한 사항임을 알려드리니 참고하시기 바랍니다.
4. 정부의 저출산 정책 방향과 관련하여 인구정책총괄과에서 다음과 같이 총괄적으로 안내드리겠습니다.
ο 정부는 저출산 현상의 원인을 노동시장 격차, 불안정한 고용 증가, 교육 경쟁 심화, 높은 주택 가격, 일·가정 양립의 어려움, 돌봄 공백 등 사회경제적 요인, 전통적 가족제도, 국민인식 변화 등 문화 가치관 측면, 주출산 연령대 여성인구 감소, 혼인율 하락, 초혼연령 상승, 미혼 가구 평균 출생아수 감소 및 무자녀 비율의 인구학적, 사회구조적 요인 등 다양한 사회·경제·문화적 요인이 복잡하게 얽힌 결과로 판단하고 있습니다.
 ο 이에 정부는 '24.6.19. 대통령 주재 2024년 제1차 저출산·고령사회위원회를 개최하여 결혼·출산·양육이 장점이 될 수 있는 환경 조성 등을 주요과제로 한  「저출생 추세 반전을 위한 대책」* 을 발표한 바 있으며, 
     * (참고) 저출산고령사회위원회 홈페이지 &gt; 정책공간 &gt; 안건자료
 ο 저출생의 직접 원인이 되고 있는 ① 일·가정 양립 ② 양육 ③ 주거 등 3대 핵심분야 지원에 역량을 집중 및 좋은 일자리 창출, 과도한 경쟁 완화를 위한 공교육 내실화, 지방균형 발전 등 구조적 요인에 대해서도 기재부, 복지부, 고용부, 교육부, 국토부 등 범부처 차원에서 지속적으로 대응해나갈 계획입니다.
     ※ 지자체 개별 지원 사항은 해당지자체별 인구구조 및 재정 상황 등을 고려하여 각 개별 조례에 근거하여 지원하고 있으며, 교육지원(교육부), 문화생활(문체부) 등은 소관 관계부처 누리집 참고 필요 
 ο 우리 부에서는 건강한 출산 지원과 비용 부담 경감을 위하여 임신·출산진료비 지원(국민행복카드 100만원), 고위험 임산부 및 미숙아·선천성 이상아 등에 대한 진료비 지원 및 건강보험을 통한 2세 이하 영유아 입원 진료비 본인부담면제, 15세 이하 아동입원진료비 5% 적용(일반환자20%) 등을 시행하고 있습니다.
  - 더불어, 국민연금은 현재 출산한 국민연금 수급자에게 가입기간 추가지원 혜택을 드리는 제도인 "출산크레딧*"을 2008년 1월 1일부터 도입 운영하고 있습니다.
   * 출산크레딧 제도 
    ? (개요) 출산친화여건조성 및 여성가입자의 수급기회 확대를 위해 국민연금의 추가가입기간을 인정('08년)
    ? (인정기간) 둘째 자녀 12개월, 셋째 자녀부터 인 당 18개월 추가(최대50개월)
    ? (인정시점) 노령연금 수급권을 취득한 때
  ο 또한, 첫만남이용권('24. 첫째아 200만원, 둘째아 이상 300만원), 부모급여('24, 만0세 100만원, 만1세 50만원) 및 아동수당(만7세까지 월10만원)을 지원하는 등 양육부담을 줄이기 위한 지원도 지속 확대하고 있으며,
  ο 이외에도 필수 가임력 검사비용 지원, 냉동난자 보조생식술 지원, 난임 시술비 소득기준 폐지 등 임신 과정에 대한 지원을 확대 중임을 알려드립니다.*
    ※ ('24년도 저출산대책 지원 확대 관련 참고) 보건복지부 홈페이지&gt;알림&gt;보도자료&gt;"임신·출산·양육이 행복하도록 2024년 정부지원이 대폭 확대됩니다."
  ο  또한, 말씀하시는 저출산 인식개선과 관련하여, 저출산 정책 홍보와 인식개선을 목표로 하는 영상을 활용하여 온라인 광고, TV, 옥외 광고 등을 진행하고 있으며, 올해도 다양한 매체를 활용한 홍보를 계획·추진 중에 있고, 
  ο  또한, 출산과 양육에 대한 인식 변화와 가족 친화적인 사회 분위기 조성을 위하여 정책 홍보와 국민이 저출산 및 인구 고령화 문제의 중요성을 이해하고, 결혼·출산·가족 생활에 대해 합리적 가치관을 형성할 수 있도록 학령기 학생과 성인 등을 대상으로 생애주기별 인구교육을 지원하고 있습니다.
5. 저출산  정책에 관심을 갖고 소중한 제안을 해주심에 다시 한번 감사드리며, 정부는 체감도 높은 정책을 지속 발굴하고, 더불어 향후 정책을 수정·보완하는 과정에서 귀하의 민원 취지를 고려하도록 하겠습니다.
6. 귀하의 가정이 평안하시기를 바라며, 복지부 출산 양육 지원 사업 등 관련 문의사항은 보건복지콜센터(국번없이129)로 문의주시기 바라며, 총괄적으로 보건복지부 인구정책총괄과(044-202-3691)에서 안내드렸습니다.  끝.</t>
  </si>
  <si>
    <t>저출산 획기적인 대책으로 출산율 증가</t>
  </si>
  <si>
    <t>저출산으로 인한 인구 감소 사태로 획기적인 인구증가정책이 필요한 바 
정부에서는 출산을 늘릴 수 있는 획기적인 방안을 제시 국민들의 공감을 얻어야 하는 바
3명이상 자녀를 키우는 가정은 대학교까지 무료로 교육 받을 수 있도록 정부에서 지원을 하고
2명의 자녀 가정은 대학교까지 50퍼센트의 학비를 지원하고 1명의 가정도 자녀출산금을 5000만원씩 지급하는 등의 방안을 수립하고
3세이하 유아 동행 부모에게는 버스 지하철의 교통비를 면제해주고 면제비용은 정부에서 버스회사 및 지하철공사에 추후 지급
하여주는 정책을 수립하고 택시는 50퍼센트 감면해주고 감면한 50퍼센트는 정부에서 추후 지급하는 방안을 강구하여야 하며
관공지 입장시에도 면제혜택을 주어 국민들이 공감하는 정책을 수립 시행하여 애기를 낳아 키우면 정부에서 혜택을 많이주어
애기를 낳아 키워야 좋다는 인식을 갖도록 정책을 개발하여야 합니다</t>
  </si>
  <si>
    <t>효과적인 정책 발굴로 인구증가</t>
  </si>
  <si>
    <t>인구 증가에 효과</t>
  </si>
  <si>
    <t>1. 안녕하십니까? 귀하께서 국민신문고를 통해 신청하신 제안(1AB-2406-0011818)에 대하여 회신 드립니다.
2. 귀하께서는 '출산지원금 확대 지원'을 건의하신 것으로 이해되며 아래와 같이 답변을 드립니다.
 ○ 정부는 아동의 기본적 권리와 복지증진을 위하여 2018년 9월 아동수당을 도입하였으며, 출생·육아에 따른 경제적 부담 경감 및 영아기 돌봄을 두텁게 지원하기 위하여 부모급여와 첫만남이용권을 도입하였습니다.
  - 부모급여: ('24) 매월 만 0세 100만원, 만 1세 50만원
  - 첫만남이용권 지원: ('24) 첫째아 200만원, 둘째아 이상 300만원
  - 아동수당: 8세 미만 모든 아동에 대해 매월 10만원
 ○ 귀하께서 제안하신 출산지원금을 확대하는 것은 많은 추가 예산이 소요되는 사항으로 한정적인 국가의 재정여건을 고려하여 사회적 합의를 거치는 등 신중히 검토하여 추진하도록 하겠습니다.
3. 답변 내용에 대한 추가 문의사항이 있으신 경우 보건복지부 보건복지콜센터(국번없이 ☎ 129) 또는 출산정책과(☎ 044-202-3398)로 연락주시면 성실히 답변 드리겠습니다. 감사합니다.  끝.</t>
  </si>
  <si>
    <t>저출산에 아기를 갖기 위한 노력을 하고 있는 여성에게 난임 시술비 지원을 될때까지 해주세요!!</t>
  </si>
  <si>
    <t>지역별로 난임 시술비 지원을 최대한 도와주는 지역도 있지만 너무 제한된 횟수로 경제적 어려움으로 포기하게 만드는 상황으로 힘들어 하고 있습니다!!</t>
  </si>
  <si>
    <t>전국민 대상으로 아기를 갖기 위한 노력을 하는 모든 여성들에게 성공을 할때까지 아끼지 말고 지원을 해주세요!!!
난임 시술은 난자 채취, 수정, 착상 등의 단계마다 수십 차례 실패를 반복하기도 합니다.
과거에는 몇 차례만 지원금을 줬기 때문에 난자 채취에 실패한 경우까지는 지원금을 주지 않는 겁니다.
하지만 최근에는 시험관 시술은 20번까지 지원이 확대됐습니다.
지원 횟수에 여유가 있는 만큼, 이제는 난자 채취에 실패한 경우라도 시술비를 지원해야 한다는 목소리가 커지고 있습니다.</t>
  </si>
  <si>
    <t>난임 시술을 할수 있도록 적극적인 후원이예비 부부,결혼 부부들의 노령의 나이로 인해 포기할수도 있는 마음을 도전으로 바뀔수 있고 경제적으로 부담이 줄어드니 아기를 갖기 위해 최선으로 노력함으로써 저출산을 낮추는데 큰성과가 있을거라 봅니다!!!
제발 부탁드립니다!!</t>
  </si>
  <si>
    <t>1. 안녕하십니까? 귀하의 민원 요지는 '난임시술 지원 확대'에 관한 것으로 이해되며, 답변드립니다.
2. 2024년부터 난임부부가 전국 어디서나 소득수준에 상관없이 시술비를 지원받을 수 있도록 지자체 지원사업의 소득기준 폐지 협의를 완료하였습니다. 또한 체외수정(신선배아, 동결배아) 시술 간 급여인정 횟수 칸막이가 폐지되고 4회가 추가(체외수정 16→20회)됩니다(인공수정은 구별하여 5회 지원)
  - 참고로, 시술비 지원사업은 정부의 재정분권 추진에 따른 지방이양 결정으로 2022년 1월부터 지방자치단체가 추진하며, 소득기준 등을 완화하여 지원을 단계적으로 확대하고 있습니다.
3. 난임시술 추가 지원은 예산 소요 및 재정 여건 등 종합적인 고려가 필요한 사안으로 정부는 난임부부의 건강과 안전을 고려한 지원이 이루어질 수 있도록 지자체와 협력하여 다각적인 방안을 적극 검토해 나갈 것을 말씀드립니다.  끝.</t>
  </si>
  <si>
    <t>출산정책 문제와 해결방안제시</t>
  </si>
  <si>
    <t>1.현황 
  우리나라의 출생율은 10년 전만 해도 1.77명이었으나 최근 8년간 380조를 지출 하고도
  출생율은 0.72명으로 10년 전보다 50% 이상 떨어졌다
  출생아 수도 10년 전 438,700명에 비해 2023년 약 23만 명으로 50%가량 떨어졌다
  이와 같이 우리나라의 출생 정책이 대단한 실패와 헛바퀴를 돌고 있음에도 토론회나
  학자들의 연구 논문도 대안 제시를 하지 못하고 정부 정책도 확실한 대안을 찾지 못한 채 
  세금만 낭비되고 있는 게 현실이다
  이를 바로 잡기 위해서는 확실한 정책 개발과 대안을 찾아서 정부와 지자체가 한목소리로
  일관성 있는 정책 추진이 매우 시급한 상태이다
  2.문제점
  첫째 정확한 원인을  찾지 못하는 정책에 있다
      예를 들면 출산 지원금을 준다거나 육아수당을 지급 해 준다고 아이를 낳을 사람들은 
      그리 많지 않으며 근본 해결책이 못 되고 있다
      결혼 비용 지급이나 신혼부부 주택 정책도 약간의 도움이 될 뿐이다
 둘째 일관성없이 정책만 남발되어 세금만 낭비되고 있다
     정부와 지자체가 정확한 대안이나 일관성은 없고 포플리즘에 편협된 정책으로 
     국민들의 소중한 세금만 낭비되고 있는 게 현실이다
     지난 8년간 지출한 출산 정책 비용이 말해주고 있다.</t>
  </si>
  <si>
    <t>3.개선방향
  첫째, 윤리 도덕에서 그 해답을 찾아야 한다
  우리나라는 언제부터인가(80년대로 추측) 윤리 도덕 교육이 안 되고 있다
  좀 더 잘사는 것보다 사회 윤리와 도덕이 바로 서는 세상이 필요하다
  학교에서 학생이 선생님을 구타하고, 학생흡연은 일반화되어 있으며 마약까지 하는 세상이다 
  어른을 공경 하기는 커녕 욕하고 때리기까지 하며 청소년 범죄는 날로 증가 하고 있다
  동방 예의 지국이 무너진 지 오래다.
  어른 공경 사상 결여는 자기 부모까지 정부가 책임지라고 하는 세상이 되어가고 있다
  많은 사교육비와 힘든 육아와 학폭 등으로 지친 부모들을 자식이 몰라라 하는 세상에 
  누가 자식을 낳고 싶어 하겠는가?
  이 모든 문제의 시발점은 윤리가 결여되고  만연된 황금만능주의가 문제라고 생각한다
  둘째, 사교육비가 너무 많이 든다.
  유치원부터 대학교까지 교육은 정부가 책임져야 한다
  사교육비 때문에 가정생활이 힘들고 아이 낳을 생각을 접게 된다
  대학 진학 비율을 지금보다 많이 낮추어야 할 것이다
  고등학교 졸업 후 취업 할 수 있는 직업 교육이 강화 되어야 하고 그래도 대학가고 싶은
  사람은 사립대학에 본인의 비용으로 진학하게 해야 한다
  또 한 공교육의 강화와 더블어 교육자 양성제도의 대안이 마련되어야 할 것이다
 교육자는 실력도 문제지만 인성이 더 중요시 되어야 한다
  셋째, 보육제도의 보완이 필요하다
  보육, 유아원, 유치원 등의 보육시간 유연성도 필요하고 전문성도 보완 되어야 한다
  출근은 해야 하는데 보육원은 9시에 연다거나 7시 퇴근인데 유아원은 5시에 끝난다
  보육시간이나 초등학교 저학년의 보호시간의 유연성이 필요하다
  넷째, 직장도 유연 근무제가 필요하다
  신혼 부부 중 육아를 담당하는 근무자부터 우선적으로 유연근무를 신청 할수 있도록 해야 
  한다
  예를 들면 육아를 하고 있는 부부 중 한사람이 탁아를 위하여 10시까지 출근 하거나 5시 
  퇴근제를 신청할 수 있는 제도가 필요하다.
  기업이나 정부는 단축 근무 시간에 따라 보수를 조정하면 되고
  이를 유연하게 반영하여 신혼부부가 육아에 지장이 없도록 회사나 정부가 육아를 도와 
  주는 풍토와 제도가 필요하다.
  다섯째, 각종 정책의 집중과 일관성이 필요하다
  신혼부부 주택 정책이나 출산비용 지원금, 육아수당 지급 등 정부차원에서 일관성 있는 
  중앙정부의 정책으로 청년들이나 신혼부부에게 확신을 주어야 한다.</t>
  </si>
  <si>
    <t>4.기대효과
  불과 10년 전인 2015년에 유소년 100명당 노인 인구가 93명이었지만 2023년에는 181명,
  2030년에는 312명으로 예상되고 있다.
  이와 같이 우리나라는 세계 어느 나라에서 유래를 찾아 볼 수 없는 노령화 속도가 매우 빠    른 나라임이 분명하다
  이러한 국가 일수록 윤리 도덕은 더 강화 되어야 하며 어른들은 존경받아야 한다.
 아이를 낳아야하는 부모도 언젠가는 자녀들로부터 존경받는 노인이 된다는 사실과
 사교육비탈출은 물론 보육시간의 유연성 확보와 직장의 근무 시간 단축제 등은 보육에 직접   적인 영향을 미치게 될 것이며 육아에 불편성을 타파하는 대안이 되어줄 것으로 확신하며 여기에 출산장려금이나 육아 지원근금등이 중앙정부 정책으로 일관성이 플러스되어 준다면 출산율 증가로 이어질것으로 확신된다
또한 차등 임금제 도입으로 노인 일자리 창출과 외국 노동자를 좀 더 유연하게 사용할 수 있도록 해야 하며 공영 방송등의 프로그램을 통하여 가족의 사랑과 그 우월성을 많이 피력하여 윤리도덕의 회복과  대한민국의 미래 비전을 제시해주길 기대한다</t>
  </si>
  <si>
    <t>1. 안녕하십니까? 귀하께서 국민신문고로 제안주신 사항은 다부처지정건으로 제안주신 사항 중 우리부 소관사항에 대해 검토한 결과를 다음과 같이 안내드립니다.
2. 귀하께서 제안주신 사항은 저출산 완화를 위해 일관성 있는 정책 등 체감도 높은 정책 마련에 대한 사항으로 이해되며, 이에 대해 정부의 저출산 정책방향에 대해 다음과 같이 안내드립니다. 
 ο 정부는 저출산 현상의 원인을 노동시장 격차, 불안정한 고용 증가, 교육 경쟁 심화, 높은 주택 가격, 일·가정 양립의 어려움, 돌봄 공백 등 사회경제적 요인, 전통적 가족제도, 국민인식 변화 등 문화 가치관 측면, 주출산 연령대 여성인구 감소, 혼인율 하락, 초혼연령 상승, 미혼 가구 평균 출생아수 감소 및 무자녀 비율의 인구학적, 사회구조적 요인 등 다양한 사회·경제·문화적 요인이 복잡하게 얽힌 결과로 판단하고 있습니다.
 ο 이에 정부는 '24.6.19. 대통령 주재 2024년 제1차 저출산·고령사회위원회를 개최하여 결혼·출산·양육이 장점이 될 수 있는 환경 조성 등을 주요과제로 한  「저출생 추세 반전을 위한 대책」* 을 발표한 바 있으며, 
     * (참고) 저출산고령사회위원회 홈페이지 &gt; 정책공간 &gt; 안건자료
  ο 저출생의 직접 원인이 되고 있는 ① 일·가정 양립 ② 양육 ③ 주거 등 3대 핵심분야 지원에 역량을 집중 및 좋은 일자리 창출, 과도한 경쟁 완화를 위한 공교육 내실화, 지방균형 발전 등 구조적 요인에 대해서도 기재부, 복지부, 고용부, 교육부, 국토부 등 범부처 차원에서 지속적으로 대응해나갈 계획입니다.
   ※  사교육비, 영유아 보육(교육부), 육아휴직 및 육아근무(고용부), 아이돌봄서비스(여가부), 신혼부부 주택 등 주거지원(국토부) 등에 대한 사항은 소관 부처 누리집 참고
 ο 우리 부는 건강한 출산 지원과 비용 부담 경감을 위하여 임신·출산진료비 지원(국민행복카드 100만원), 고위험 임산부 및 미숙아·선천성 이상아 등에 대한 진료비 지원 및 건강보험을 통한 2세 이하 영유아 입원 진료비 본인부담면제, 15세 이하 아동입원진료비 5% 적용(일반환자20%) 등을 시행하고 있습니다.
  - 더불어, 국민연금은 현재 출산한 국민연금 수급자에게 가입기간 추가지원 혜택을 드리는 제도인 "출산크레딧*"을 2008년 1월 1일부터 도입 운영하고 있습니다.
   * 출산크레딧 제도 
    ? (개요) 출산친화여건조성 및 여성가입자의 수급기회 확대를 위해 국민연금의 추가가입기간을 인정('08년)
    ? (인정기간) 둘째 자녀 12개월, 셋째 자녀부터 인 당 18개월 추가(최대50개월)
    ? (인정시점) 노령연금 수급권을 취득한 때
  ο 또한, 첫만남이용권('24. 첫째아 200만원, 둘째아 이상 300만원), 부모급여('24, 만0세 100만원, 만1세 50만원) 및 아동수당(만7세까지 월10만원)을 지원하는 등 양육부담을 줄이기 위한 지원도 지속 확대하고 있으며,
 ο 이외에도 필수 가임력 검사비용 지원, 냉동난자 보조생식술 지원, 난임 시술비 소득기준 폐지 등 임신 과정에 대한 지원을 확대 중임을 알려드립니다.*
    ※ ('24년도 저출산대책 지원 확대 관련 참고) 보건복지부 홈페이지&gt;알림&gt;보도자료&gt;"임신·출산·양육이 행복하도록 2024년 정부지원이 대폭 확대됩니다." 
3. 저출산  정책에 관심을 갖고 소중한 제안을 해주심에 다시 한번 감사드리며, 정부는 체감도 높은 정책을 지속 발굴하고, 더불어 향후 정책을 수정·보완하는 과정에서 귀하의 민원 취지를 고려하도록 하겠습니다.
4. 귀하의 가정이 평안하시기를 바라며, 복지부 출산 양육 지원 사업 등 관련 문의사항은 보건복지콜센터(국번없이129)로 문의주시기 바라며, 총괄적으로 보건복지부 인구정책총괄과(044-202-3691)에서 안내드렸습니다.  끝.</t>
  </si>
  <si>
    <t>출산정책,인구 증가,결혼</t>
  </si>
  <si>
    <t>젊은이, 청년들이 아이를 안 낳는 1순위가 일을해야 하기 때문이다..
아이낳으면 일을 못하고 아이키우려면 어린이집 보내야하고 육아비용,급여감소가 원인이므로 
가임 여성에겐 소득을 보장해야 한다.
지금 실시하는 각종 출산,육아혜택은
 공공기관만  수익이 생기는 구조이다.</t>
  </si>
  <si>
    <t>임신한 여성에게 무조건 급여 상당 금액을 보장해 주어야 한다.
아이가 초등학교 입학할때까지 300만원씩 지급하면 출산율이 높아질것이다</t>
  </si>
  <si>
    <t>가임기 여성들의 결혼과 출산율을 기대 할 수 있다.</t>
  </si>
  <si>
    <t>1. 안녕하십니까. 귀하께서 국민신문고를 통해 신청하신 제안(신청번호 1AB-2407-0012788)에 대하여 회신 드립니다.
2. 귀하의 제안 내용은 아동수당 등 출산 양육지원금 지원 확대와 관련한 것으로 이해되며 아래와 같이 답변을 드립니다.
 ○ 정부는 아동 양육의 경제적 부담을 경감시키고 아동의 건강한 성장환경을 조성하여 아동의 기본적 권리와 복지 증진을 위해 2018년 9월 아동수당을 도입해 현재 8세 미만 모든 아동에 대해 매월 10만원 아동수당을 지급하고 있습니다.
 ○ 아동수당 지원 확대는 재정소요를 감안하여 사회적 논의를 거쳐 법률 개정을 통해 실행 가능한 사항임을 알려드리니 참고하시기 바랍니다.
3. 추가 문의사항이 있으신 경우 보건복지부 보건복지콜센터(국번없이 129) 또는 아동정책과(044-202-3420)로 연락주시면 성실히 답변드리겠습니다. 감사합니다. 끝.</t>
  </si>
  <si>
    <t>저출산 시대 출산증진을 위한 진료 및 일부약품 급여화 제안</t>
  </si>
  <si>
    <t>대한민국은 초저출생 국가로 지금과 같은 사태가 지속되면 국가의 존립이 위험할 지경까지 이르렀다.
출산에 대한 의사와 뜻이 있음에도 여러 문제로 출산을 하지 못하는 경우가 존재한다. 예컨대 부부간 성관계를 통해 아이를 잉태하기 위해서는 건강한 신체가 뒷받침되어야 함에도 "발기부전"등에 따라 부부간 성관계가 쉽지 아니한 부부도 존재한다. 최근 임신을 위해 지원하는 제도는 증가하고 있으나, 그 근원인 임신을 위해 시작하는 행위를 지원하는 것은 없다.</t>
  </si>
  <si>
    <t>발기부전에 따른 진료비와 일부약품을 현재 비급여에서 급여로 변경할 것을 제안한다.
급여의 비율은 실무부서 검토에 따라 (반액~전액)까지로하고, 악용을 방지하기 위해 실제 출산이 가능한 연령대에 한정하여 약품을 처방하고, 혼인신고된 부부 뿐만 아니라 사실혼 관계 등에 까지 그 지원 대상으로 한다.
출산에 대한 의사가 없는 자에게 출산하라고 하는 것보다는 출산에 대한 의지가 있는 자들에게 지원하는것이 더 효과적이라 생각된다.</t>
  </si>
  <si>
    <t>임신과 출산에 대해 의사도 있고, 그 노력도 하고 있지만, 발기부전으로 인해 부부간 관계를 맺기 힘든 부부들에게 의료비 및 약품비를 급여화해 남성이 발기부전에 대해 부끄러워하지 않고, 당당한 제도권 안에서 지원을 받아 임신과 출산을 위한 범주로 포함한다면, 분명 지금보다는 출산률이 조금이라도 증가될 것으로 본다.</t>
  </si>
  <si>
    <t>1. 안녕하십니까? 귀하께서 국민신문고를 통해 신청하신 제안(1AB-2407-0011744)에 대한 재심사요청으로 검토 결과를 다음과 같이 알려드립니다. 
2. 건강보험 미적용으로 경제적 부담을 겪고 계신 귀하께 위로의 말씀을 드리며, 귀하의 제안 내용 “저출산대책을 위한 발기부전 건강보험 적용 요청, 저출산 시대의 출산 증진을 위한 일부약품의 급여화 제안”에 관한 것으로 이해되어 답변을 드리겠습니다.
3. 먼저, “저출산대책을 위한 발기부전 건강보험 적용 요청”에 대하여 보험급여과에서 답변드립니다. 
○ 이전 제안에서 답변드린 바와 같이 건강보험은 국민의 질병·부상 등에 대하여 보험급여를 실시함을 원칙으로 하되, 국민이 부담하는 보험료와 국고지원액 등 한정된 재원으로 최적의 건강보험급여를 하기 위해서 국민의 부담 수준, 국가의 재정 여건 등을 고려하여 급여의 범위와 기준을 정하여 운영하고 있습니다.
○ 최근 저출산과 고령 산모 증가와 난임 시술로 인한 다태아 출생 증가 등의 영향으로 조산?저체중 출생 빈도 증가 등 정책적 관심이 더욱 요구되고 있으며, 우리 부에서도 건강한 임신과 출산을 지원하기 위해 노력하고 있습니다. 
 - 이에, 애초 비급여인 난임 시술의 건강보험 적용을 시작으로 주기적 평가와 저출산 환경에 대한 사회적 논의를 거쳐 그 범위는 지속해서 확대*하고 있습니다. 
 * (그간의 건강보험 확대경과)?'17년 10월부터?만45세?미만?여성에게?체외수정?7회,?인공수정?3회?건강보험을 적용,?'19년 7월부터는?연령제한을?폐지 및 급여 인정?횟수를 확대(신선배아?4→7회,?동결배아 3→5회,?인공수정?3→5회), ‘19년 10월 24일부터는 모자보건법 개정 후속 조치 사항으로 사실혼 부부에게도 건강보험을 적용하는 등 현장의 의견을 반영해 실질적 횟수 혜택을 확대, ‘21년 11월에도 난임치료시술 건강보험 보장성 강화하여 급여 인정 횟수를 확대(신선배아?7→9회,?동결배아?5→7회?지원?횟수?각?2회?추가)?및?만?45세?미만?여성의?본인부담률을?일괄?30%로?인하, ‘24년 2월부터는 난임의 1차 치료로 권고될 수 있는 인공수정에 대한 급여 횟수(인공수정 총 5회) 구분은 유지하되, 체외수정 신선배아와 동결배아의 급여 횟수 제한을 통합하고 4회를 추가(체외수정 총 20회) 및 보조생식술이 일련의 과정으로 남성 난임으로 보조생식술 진료시작일보다 먼저 정자를 채취하는 경우에도 건강보험을 적용토록 함
○ 앞으로도 우리 부는?난임치료시술과 관련 약제?검사,?임신?출산 등에 대한?건강보험 적용 확대에 있어 추가로 필요한 부분들은 난임 관련 단체, 시술 기관, 전문가 등의?의견을 수렴하여, 국민 건강에 미치는 영향 등을 종합적으로 고려해?지속해서 검토할 예정이며,?귀하의 의견은 향후 정책개선 시 참고하겠습니다.
4. 다음으로, “저출산 시대의 출산 증진을 위한 일부약품의 급여화 제안”과 관련하여 보험약제과에서 답변드립니다. 
○ 우리부는 저출산 시대에 대한 대응을 위해 난임 관련 약제에 대한 건강보험 급여를 점차 확대하고 있으며, 최근 과배란유도제, 자궁착상보조제·유산방지제 등 비급여 필수 약제에 대한 급여 확대를 추가로 실시한바 있음을 알려드립니다.
 - 향후에도 난임 등 치료 지원을 위해 관련 학회 등과 급여 우선순위 의견을 바탕으로 건강보험 보장성을 강화할 예정이나, 재정 영향 등을 고려하여 단계적 급여화가 필요한 사항으로 관련 약제의 등재 추이를 고려한 지원 필요한 점을 알려드리니 너른 이해 있으시기 바랍니다.
5. 귀하의 제안에 만족스러운 답변을 드리지 못함을 다시 한번 양해하여 주시기 바라며, 추가 질의가 있으신 경우 보건복지 콜센터(129) 또는 의료행위 건강보험 적용 관련은 보험급여과(044-202-2741), 치료제 (의약품) 관련은 보험약제과(044-202-2754)로 연락해 주시면 답변드리겠습니다. 감사합니다.  끝.</t>
  </si>
  <si>
    <t>저출산 대책 정책</t>
  </si>
  <si>
    <t>고령화로 인구는 줄고 출산율은 오랜세월 속에 그시대에 따른 대책을 강구해도 별 효과도
없고 가족을 이룬 가정에도 한두명 낳고
더이상  출산을 끝내고  더 낳고 싶어도 늦게
결혼하기 때문에 한두명 낳으면 노산이되어
더 낳을수도 없고해서 한두명으로 끝내기 때문에 인구 늘어나는데 큰 도움을 주지를 못합니다  그나마 정부에서는 안간힘을 다쓰서 출산 장려를 하고있습니다 현상 유지라도 해야
할텐데 노년으로 사망하는 인구가 더빠름니다 어린이유치원학교는 시간이 갈수록 소멸되고 노인시설과 장례문화는 활성화되고 있는 현실에 미래가 어둡고 암울하기만 합니다</t>
  </si>
  <si>
    <t>인구를 늘리는 방법이 원칙만 고집해서는
절대로 늘어나질 않습니다
또 다른 방법을 찾아야 합니다
또 다른 방법을 적극적으로 장려 해야만
지금부터 시작한다면 20년이 걸립니다
또 다른 방법을 소극적으로 한다면 별 효과를
못봅니다 정부에서 적극적으로 해야 효과를
봅니다
새로운 방법에 대해 말씀드립니다
대한민국에서 어떤 방법으로 이세상에 탄생한 부모를 잃었거나  없거나  미혼모의 아기들은 정부가 책임지고 고등학교 졸업 할때까지 키워주고 공부 가르쳐 준후 사회에 자립해서 살도록 독립시켜 주는 방법입니다
직장구해 결혼하게 되면 2세를 낳아 행복하게 잘 살겁니다</t>
  </si>
  <si>
    <t>부모와 함께 살아도 행복한 불행한 가정이 있듯이 홀로 독립해서 살아도 행복과 불행은
사람 마다 있게 마련입니다
오히려 외롭게 살았기 때문에 가정을 중요시 하여 결혼도 빨라지고 아기를 낳아 행복을
찾는 젊은이들이 오히려 부모와함께 자란 자식들 보다 더 생활의 의지력이 더 강한 젊은이도 많습니다
제가 보낸 내용을 공유하셔서 전국적으로
이방법을  활용하게 된다면 20년 후면
큰 효과를 볼것으로 확신합니다
감사합니다</t>
  </si>
  <si>
    <t>1. 안녕하십니까? 귀하께서 제안주신 민원은 다부처지정건으로 우리 부 소관사항에 대해 검토한 결과를 보건복지부 인구정책총괄과에서 다음과 같이 안내드리겠습니다.
2. 귀하께서 제안주신 사항은 저출생 완화를 위한 정부의 정책지원 강화에 대한 사항으로 이해되며, 이에 대해 정부의 정책방향에 대해 다음과 같이 안내드립니다.
ο 정부는 저출생 현상의 원인을 노동시장 격차, 불안정한 고용 증가, 교육 경쟁 심화, 높은 주택 가격, 일·가정 양립의 어려움, 돌봄 공백 등 사회경제적 요인, 전통적 가족제도, 국민인식 변화 등 문화 가치관 측면, 주출산 연령대 여성인구 감소, 혼인율 하락, 초혼연령 상승, 미혼 가구 평균 출생아수 감소 및 무자녀 비율의 인구학적, 사회구조적 요인 등 다양한 사회·경제·문화적 요인이 복잡하게 얽힌 결과로 판단하고 있습니다.
ο 이에 정부는 '24.6.19. 대통령 주재 2024년 제1차 저출산·고령사회위원회를 개최하여 결혼·출산·양육이 장점이 될 수 있는 환경 조성 등을 주요과제로 한  「저출생 추세 반전을 위한 대책」* 을 발표한 바 있으며, 
  *(참고) 저출산고령사회위원회 홈페이지 &gt; 정책공간 &gt; 안건자료
ο 저출생의 직접 원인이 되고 있는 ① 일·가정 양립 ② 양육 ③ 주거 등 3대 핵심분야 지원에 역량을 집중 및 좋은 일자리 창출, 과도한 경쟁 완화를 위한 공교육 내실화, 지방균형 발전 등 구조적 요인에 대해서도 기재부, 복지부, 고용부, 교육부, 국토부 등 범부처 차원에서 지속적으로 대응해나갈 계획입니다.
   ※ 말씀하시는 미혼모 등 한부가정 지원 등에 관한 사항은 여가부, 교육 및 보육에 관한 사항은 교육부 소관 사항으로 관계부처 누리집 참고
ο 우리부는 건강한 출산 지원과 비용 부담 경감을 위하여 임신·출산진료비 지원(국민행복카드 100만원), 고위험 임산부 및 미숙아·선천성 이상아 등에 대한 진료비 지원 및 건강보험을 통한 2세 이하 영유아 입원 진료비 본인부담면제, 15세 이하 아동입원진료비 5% 적용(일반환자20%) 등을 시행하고 있습니다.
ο 또한, 첫만남이용권('24. 첫째아 200만원, 둘째아 이상 300만원), 부모급여('24, 만0세 100만원, 만1세 50만원) 및 아동수당(만7세까지 월10만원)을 지원하는 등 양육부담을 줄이기 위한 지원도 지속 확대하고 있음을 알려드립니다.
3. 이외에도, 말씀하시는 청년들의 자립 지원과 관련하여 정부는 근로빈곤층 청년의 자산형성을 통한 사회 안착과 자립 촉진을 위해 청년내일저축계좌 사업을 실시하고 있으며, 가입 기준 및 지원해택은 다음과 같으니 참고하시기 바랍니다.  
ㅇ 연령 : 신청 당시 만 19세 초과 ~ 34세 이하(차상위 이하자는 만 15세 이상 ~ 만 39세 이하)ㅇ 가구소득 : 기준 중위소득 100$ 이하(차상위 이하자는 기준 중위소득 50% 이하)ㅇ 소득기준 : 근로·사업 소득이 월 50만원 초과 ~ 월 230만원 이하(차상위 이하자는 월 10만원 이상)ㅇ 지원내용 : 본인 저축액(월 10만원 이상 필수, 최대 50만원) 대비, 차상위 이하자는                매월 30만원, 차상위 초과자는 매월 10만원의 정부지원금 적립하여 만기 후 지급ㅇ 가입기간: 3년(군입대자 및 임신·출산으로 인한 퇴직자, 육아휴직자는 2년간 적립중지 가능)
- 아울러, 복지부에서는 저소득층의 자산형성을 지원하기 위하여 희망저축계좌Ⅰ,Ⅱ 등의 사업도 진행하여 근로능력이 있는 수급자의 탈수급 및 자립지원에 노력하고 있으며,
- 타 부처 및 지자체에서도 청년층의 자산형성 및 자립을 지원하기 위하여 다양한 사업*
  실시하고 있습니다.
  * 고용노동부(청년내일채움공제), 중소벤처기업부(청년재직자 내일채움공제), 서울특별시(희망두배통장) 등
4. 귀하의 가정에 평안이 깃드시길 바라며, 출산양육 지원 관련 복지부 사업 문의는 국번없이 129(보건복지콜센터), 청년 자산형성 관련 문의는 자활정책과(044-202-3077)로 문의바라며, 총괄적으로 인구정책총괄과(044-202-3691)에서 안내드렸습니다. 감사합니다.  끝.</t>
  </si>
  <si>
    <t>남녀 만남과 출생 선물하기</t>
  </si>
  <si>
    <t>청려장은 명아주로 만든 백세 장수를 기원하는 선물로 지급되고 있습니다
같은 맥락에서
저출생시대에 출산을 소망하는 선물로 합죽선을 지급할것을 제안합니다
합죽선 선물은부부가 하나로 합하여 대나무처럼 곧고 아름다운 자손을 잉태하라는 의미입니다
유아에게 부드러운 마음을 대나무처럼 곧고 아름답게 자라길 바라는 부모의 마음이며 장식용으로도 가치가 있다고 생각됩니다
저출생 시대에 조금이나마 계기가 되길 바라는 마음으로 제안합니다</t>
  </si>
  <si>
    <t>새로운 제안입니다</t>
  </si>
  <si>
    <t>청려장이 백세 노인을 위함이라면 합죽선은 저출생 극복을 위한 조그만 이벤트입니다</t>
  </si>
  <si>
    <t>1. 안녕하십니까? 귀하께서 국민신문고로 제안주신 사항에 대해 검토한 결과를 보건복지부 인구정책총괄과에서 안내드리겠습니다.
2. 귀하께서 제안주시는 사항은 저출산 완화를 위해 '출생가정에 합죽선 등 선물제공'에 대한 사항으로 이해되며, 정부의 저출생 정책방향에 대해 다음과 같이 안내드리겠습니다.
 ο 정부는 저출산 현상의 원인을 노동시장 격차, 불안정한 고용 증가, 교육 경쟁 심화, 높은 주택 가격, 일·가정 양립의 어려움, 돌봄 공백 등 사회경제적 요인, 전통적 가족제도, 국민인식 변화 등 문화 가치관 측면, 주출산 연령대 여성인구 감소, 혼인율 하락, 초혼연령 상승, 미혼 가구 평균 출생아수 감소 및 무자녀 비율의 인구학적, 사회구조적 요인 등 다양한 사회·경제·문화적 요인이 복잡하게 얽힌 결과로 판단하고 있습니다.
 ο 이에 정부는 '24.6.19. 대통령 주재 2024년 제1차 저출산·고령사회위원회를 개최하여 결혼·출산·양육이 장점이 될 수 있는 환경 조성 등을 주요과제로 한  「저출생 추세 반전을 위한 대책」* 을 발표한 바 있으며, 
     * (참고) 저출산고령사회위원회 홈페이지 &gt; 정책공간 &gt; 안건자료
 ο 저출생의 직접 원인이 되고 있는 ① 일·가정 양립 ② 양육 ③ 주거 등 3대 핵심분야 지원에 역량을 집중 및 좋은 일자리 창출, 과도한 경쟁 완화를 위한 공교육 내실화, 지방균형 발전 등 구조적 요인에 대해서도 기재부, 복지부, 고용부, 교육부, 국토부 등 범부처 차원에서 지속적으로 대응해나갈 계획입니다.
 ο 현재 우리 부 차원에서는 건강한 출산 지원과 비용 부담 경감을 위하여 임신·출산진료비 지원(국민행복카드 100만원), 고위험 임산부 및 미숙아·선천성 이상아 등에 대한 진료비 지원 및 건강보험을 통한 2세 이하 영유아 입원 진료비 본인부담면제, 15세 이하 아동입원진료비 5% 적용(일반환자20%) 등을 시행하고 있습니다.
  - 더불어, 국민연금은 현재 출산한 국민연금 수급자에게 가입기간 추가지원 혜택을 드리는 제도인 "출산크레딧*"을 2008년 1월 1일부터 도입 운영하고 있습니다.
  * 출산크레딧 제도 
  ? (개요) 출산친화여건조성 및 여성가입자의 수급기회 확대를 위해 국민연금의 추가가입기간을 인정('08년)
  ? (인정기간) 둘째 자녀 12개월, 셋째 자녀부터 인 당 18개월 추가(최대50개월)
  ? (인정시점) 노령연금 수급권을 취득한 때
 ο 또한, 첫만남이용권('24. 첫째아 200만원, 둘째아 이상 300만원), 부모급여('24, 만0세 100만원, 만1세 50만원) 및 아동수당(만7세까지 월10만원)을 지원하는 등 양육부담을 줄이기 위한 지원도 지속 확대하고 있으며, 
 ο 필수 가임력 검사비용 지원, 냉동난자 보조생식술 지원, 난임 시술비 소득기준 폐지 등 임신 과정에 대한 지원을 확대 중임을 알려드립니다.*
 ※ ('24년도 저출산대책 지원 확대 관련 참고) 보건복지부 홈페이지&gt;알림&gt;보도자료&gt;"임신·출산·양육이 행복하도록 2024년 정부지원이 대폭 확대됩니다."
 ο 더불어 말씀주신 저출산 완화를 위한 단순 현물성 지원 관련, 정부는 분야별 전문가, 정책 수요자 청취 및 정책 연구와 평가 등을 통해 정부정책방향을 수립하고 있으며, 정책의 효과성 평가, 국가재정여건, 사회적 합의 등을 고려한 검토 및 비용지원의 지원효과 등 분석한 결과를 기반하여 체감도 높은 방향으로 지원할 수 있는 방향을 지속 검토해나갈 예정임을 알려드립니다.
3. 저출산  정책에 관심을 갖고 소중한 제안을 해주심에 다시 한번 감사드리며, 정부는 체감도 높은 정책을 지속 발굴해나가겠습니다. 
4. 귀하의 가정이 평안하시기를 바라며, 복지부 출산 양육 지원 사업 등 관련 문의사항은 보건복지콜센터(국번없이129)로 문의주시기 바라며, 총괄적으로 보건복지부 인구정책총괄과(044-202-3691)에서 안내드렸습니다.  끝.</t>
  </si>
  <si>
    <t>출산안하는 이유는...</t>
  </si>
  <si>
    <t>저는 대한민국 국민이라는걸 자랑스럽게 생각하는 사람들 중에 한 사람입니다.
현재 젊은 사람들이 결혼을 못하고 있고 결혼을 해도 아이를 하나 또는 안 갖는 부모들이 많습니다.
출산율이 너무 낮습니다.
국가의 힘이 곧 국민들(인구수)입니다.</t>
  </si>
  <si>
    <t>왜냐 .. 양육비가 너무 많이 들어가 노후가 걱정되기 때문입니다.
그래서  국민연금을 노후에 자녀수에 비례해서 지급했으면 합니다.
훌륭하신 분들이 많으니 고민해 주시어 국민연금을 개혁해 주시기 바랍니다.
저도 자녀가 3명이라...직장생활 20년이상 했으나....남은 건 애들 키운거랑 은행빚 뿐입니다.
노후가 걱정되지 않게 국민연금을 개혁하시어 부모들이 노후에 큰 걱정 없이 지낼 수 있도록 바랍니다.
감사합니다.</t>
  </si>
  <si>
    <t>자녀 수 만큼 연금이 주어진다면 출산율이 높아질 것으로 확신합니다.</t>
  </si>
  <si>
    <t>1. 안녕하십니까. 귀하의 국민신문고 제안에 대한 검토 결과를 안내합니다. 
2. 귀하의 제안내용은 "자녀 수에 비례하여 연금 지급"으로 이해됩니다.
3. 귀하의 제안에 대한 검토 결과는 다음과 같습니다.
 가. 국민연금은 국민이 의무적으로 국민연금에 가입함으로써 각자의 노후를 준비하도록 하는 것에 제도 설립의 취지가 있으며, 국민연금액 산정 및 지급방법 등은 국민연금법률에서 명시적으로 정하여 운영하고 있습니다.
   ○ 18 ~ 60세 미만 국내 거주하는 국민이 가입대상이며 소득에 비례하여 최소 10년 이상 보험료를 납부하면, 63세(현재 기준)부터 사망할 때까지 국민연금의 대표 급여인 노령연금을 매월 지급받게 됩니다.
   ○ 국민연금액은 국민연금법 제51조에 따라 가입자 개인의 평균소득과 가입기간을 바탕으로 전체 가입자의 평균소득을 반영하여 아래와 같이 산정됩니다.
   ※ 국민연금액 = (기본연금액 x 지급률*) + 부양가족연금액
     * 노령연금의 지급률: 가입기간 10년 기준 50%(10년을 초과하는 1년마다 5%, 1개월마다 5/12% 가산)
     * 장애연금의 지급률: 장애1급 100%, 2급 80%, 3급 60%, 4급(일시금) 225%
     * 유족연금의 지급률: 가입기간 10년 미만 40%, 10년 이상 20년 미만 50%, 20년 이상 60%
 나. 한편, 국민연금법에는 두 명 이상 자녀를 출산(또는 입양)한 가입자에게 자녀 수에 따라 가입기간을 추가로 산입해 주는 “출산 크레딧” 제도가 마련되어 있습니다.
   ○ 국민연금법 제19조에 따라 2008년 1월 1일 이후 출생 또는 입양한 둘째 이상 자녀가 있는 부모에게 노령연금을 받을 때 자녀가 2명인 경우 12개월, 자녀가 3명 이상인 경우 최대 50개월까지 가입기간이 추가 지원되며,
        * 자녀 수에 따른 추가 가입기간
          - 2자녀 : 12개월, 3자녀 : 30개월, 4자녀 : 48개월, 5자녀 이상 : 50개월
   ○ 출산 크레딧은 노령연금 수급이 개시되는 시기에 전체 가입자의 월 평균소득으로 가입기간이 추가되어 추가 연금액이 발생하며, 본인의 원래 연금액에 이 추가 연금액을 더하여 받게 됩니다. 
      * 연금 수급 전 3년간의 국민연금 전체 가입자(사업장 및 지역가입자)의 평균소득월액의 평균액
4. 추가 문의가 있으시면 국민연금고객센터(국번없이 1355) 및 보건복지상담센터(129) 또는 보건복지부 연금급여팀(044-202-3637)으로 연락 바랍니다. 감사합니다.  끝.</t>
  </si>
  <si>
    <t>인구감소및저출산 출산지원금</t>
  </si>
  <si>
    <t>수원시 출산지원금 첫째아이 21년도
지웬금  못받은사람 어떻게  합니까
화성시는 21년도 다들 출산지원금
첫째아이  받었는데  비판적 사고방식이다
합니적이지 못한방식이다
왜 지역별  출산지원금 주는방식을 다르게  주는가  지역별  출산 데이터 확인서  제출
하시기 바람니다
저한테 못받은 출산지원금 소급하여  주시기
바람니나
그리고  어린이집 무료도 아니고  정부에서
지원금 줄어서 제가 별도로 17만원 매달
어린이집 지급하고 있어요
이렇게 하는데 인구가 증가하겠습니까
생활비도 힘든데 아이교육비  기져귀  식료비  집세 월세 관리비 융자 그걸 다  지불하고
서민들이 살수 있을까요
보통 월급250받고  이게 생활이 된다고 보세요
500만원 월급 생활을  해도 모잘은 생활인데
가난한 사람은 혼자 살수받게 없는 생활을
할수 이게 문제점 입니다</t>
  </si>
  <si>
    <t>지역별 차등지급  폐지하고 전국 출산지원금
첫째아이 1억 지역화폐카드  만들어서 그
아이에게만 쓸수있고 수원이면 수원에서만
쓸수있고 어린이집 학교 학원 병원 지역 
전통시장 이런가치 있는 크레딧카드
만들어서 인구증가을 만들어서 처리해야
합니다</t>
  </si>
  <si>
    <t>지역별 지급은 폐지하고  하루빨리
국회 법안 발의하여  내년부터 바로
아이크러딧출산카드 만들어 
그속에 1억을 20세까지 지원해야
인구가증가하고 혼인신고 한자 후 출산 첫째
부터 1억 출산카드 지급하는거  시급하다</t>
  </si>
  <si>
    <t>1. 귀하께서 국민신문고를 통해 제안해주신 사항(신청번호 1AB-2409-0002934)에 대하여 회신드립니다. 
2. 귀하의 제안내용은 "출산지원금 지원 확대 필요"하다는 내용으로 이해되며, 이에 대하여 답변드립니다. 
 ㅇ 지방자치단체의 출산장려금은 각 지자체에서 시행하는 사업으로 출산율 상승뿐만 아니라 인구유입 유도 등의 목적으로 지자체별 지역 여건에 따라 자율적으로 추진 중이며 지원대상, 지원 금액 등의 기준은 해당 지자체의 출생아수, 재정상황 등 여건에 따라 운영 중입니다.
 ㅇ 우리 부는 국가 차원의 출산장려금 지원에는 신중할 필요가 있으며 일회성 지원보다 지속적인 지원 대책이 바람직할 것으로 판단하고 있습니다.
   - 다만 중앙정부가 출산장려금에 대하여 인상 및 확대하기 위해서는 ①지자체별 여건·환경의 차이, ②지방자치권 확보 및 재정자립도 등의 측면을 하나하나 확인하기 곤란하다는 점에서 어려움이 있음을 양해하여 주시기 바랍니다. 
 ㅇ 앞으로 국가가 지원하는 출산정책의 경우 일회성 지원보다 지속적으로 출산에 필요한 정책으로 확대해 나가도록 노력하겠습니다. 
3. 답변 내용에 대한 추가 문의사항이 있으신 경우 보건복지부 출산(044-202-3398) 또는 보건복지콜센터(국번없이 129)로 연락주시면 성실히 답변 드리겠습니다. 감사합니다.  끝.</t>
  </si>
  <si>
    <t>일과 육아의 조화를 통한 아이 키우기 좋은 국가 조성</t>
  </si>
  <si>
    <t>★생활공감정책 제안경진대회 성과보고서(부산광역시 수영구) (1)-복사.pdf</t>
  </si>
  <si>
    <t>○ 저출산 문제가 사회적인 문제로 대두되고 있음
   - 현재 지속적인 출산율 하락으로 합계출산율 0.6대의 초저출산
     시대에 돌입한 대한민국에서 저출산 문제는 국가적 과제임
     (부산 2분기 합계출산율 0.66명으로 1분기 0.68명보다 감소)
 ○ 일과 육아의 조화를 이루지 못해 어려움을 겪고 있음
   - 일과 육아의 조화가 잘 이루어질 수 있도록 정책적인 지원 필요  
 ○ 20·30대의 결혼에 대한 인식이 더욱 비혼주의로 가고 있음 
   - 경제적 불안 및 육아와 교육에 대한 막대한 비용, 혼자 사는 삶이 더 행복하다는 생각 등이 주된 이유 차지 
 ○ 현대인들의 바쁜 일상 속 자연스럽게 만날 기회가 줄어들고 있음
 ○ 경기 불확실 및 기업들의 채용 관행, 대한민국의 구조적 경제 변화로 인해 청년 실업률 또한 최대치에 이르렀음
    -  24년 7월 기준 청년 실업자 약 22만 3천명, 청년 실업률 5.5%
 ○ 공직의 경우 “전보 기한”이라는 것이 존재해 일정 기간이 지나면 인사 발령이 나게 되는데, 국가직 등 일부의 경우 현재 살고 있는 곳과 다른 지역으로 발령이 나는 경우도 있어 이러한 경우에 출산 및 육아를 하기가 어려워지는 상황 발생</t>
  </si>
  <si>
    <t>○ 결혼 및 출산이 계속 줄어들고 있는 원인 중 가장 많은 비중을 차지하는 이유가 결혼 및 출산인 점을 감안하여, 육아를 하는 데 재정적으로 도움을 줄 수 있는‘육아바우처 카드’를 지원해 주어야 함
    - 만 2세 미만 영아를 둔 부모를 대상으로 소득분위 및 거주지 등 여러 상황을 고려하여 순차적 지급
    - 직접 기저귀나 분유 등을 제공하는 것도 좋지만 지원되는 금액 범위 안에서 기호와 상황에 맞게 쓸 수 있게 할 수 있도록 함
○  유튜브 및 SNS의 보편화 중에서도 최근에는 숏폼, 릴스 등 짧은 동영상에 대한 관심이 높아지고 시청률 또한 급증하고 있어 결혼에 대한 과정 및 출산 후 행복한 가정을 이루어 사는 삶에 대한 긍정적인 메시지를 줄 수 있는 ‘결혼 쇼츠 챌린지’를 실시하여 결혼 및 출산에 대한 관심을 높이고자 함
    - 지역별로 일정 기간 동안 15초~60초 사이의 동영상 공모를 받은 후 국가적인 지원을 통해 지자체별로 할당된 예산으로 순위에 입상한 사람들에게 차등으로 경품 지급
    - 조회수 및 좋아요 개수, 익명 투표 등의 점수를 합한 점수로 순위를 매기며 1둥부터 5등까지 상품권 차등 지급     
 ○ 사업장뿐만 아니라 지역별로 돌봄 시설을 확대하여 일과 육아를 병행할 수 있도록 믿을 수 있는 돌봄 시설 확충  
 ○ 임신부 및 어린 아이를 키우고 있는 공직자가 요청 시 일정 기간 동안 멀리 떨어진 곳으로 인사 발령이 되는 것에 제한을 두어  안정적이고 편안하게 육아를 할 수 있도록 함          
 ○ 육아휴직 등 휴직 시 자유롭게 쓸 수 있는 분위기를 조성할 수 있도록 즉시 대체 가능한 인력을 충원하는 시스템을 마련하고 정비하여야 함
 ○ 결혼해서 가정을 이루는 삶보다는 예능 및 동영상 등으로 인해 혼자 사는 삶에 대한 긍정적 인식이 상당히 높아졌는데, 이를 해소하기 위해서는 출산 후 행복한 가정을 이루는 삶에 대한 공익광고 및 캠페인을 지속적으로 유지시켜 나갈 필요가 있음</t>
  </si>
  <si>
    <t>□ 소요예산 
 ○ 육아바우처카드 200천원*500개 = 100,000천원
 ○ 결혼 쇼츠 챌린지 시상 및 인건비 등 비용 = 10,000천원
 ○ 돌봄 시설 설치 및 운영비 = 50,000천원
□ 향후계획
 ○ 재정적 지원뿐만 아니라 결혼 및 출산에 대한 인식을 제고하기 위해 결혼 및 출산에 대한 설문조사 지속적 실시
 ○ 설문조사를 토대로 결혼 및 출산에 대한 현실적인 인식 및 상황을 파악하고 그를 토대로 알맞은 지원 제공
 ○ 돌봄 시설에 직접 방문하여 각각의 돌봄 시설의 현황을 파악하고 인력이나 돌봄 시설이 가장 부족한 지역부터 우선적으로 재정 지원</t>
  </si>
  <si>
    <t>1. 안녕하십니까? 보건복지부 인구정책총괄과입니다. 귀하께서 국민제안을 통해 건의해주신 내용에 대한 검토 결과를 다음과 같이 알려드립니다.
2. 먼저 인구정책에 관심을 가지고 의견 주신 점에 대해 깊은 감사 말씀드립니다. 귀하께서는 저출생 문제를 해결하기 위하여 결혼에 대한 과정 및 출산 후 행복한 가정을 이루어 사는 삶에 대한 긍정적인 메시지를 줄 수 있는 ‘결혼 쇼츠 챌린지’ 실시를 건의하신 것으로 이해됩니다. 
3. 저출생 문제의 해법을 모색하기 위하여 국민 참여 노력이 필요하다는 귀하의 의견은 검토해볼 필요가 있을 것입니다. 
  - 정부에서는 결혼·임신·출산·육아에 대한 긍정적인 문화 조성을 위해 전 국민을 대상으로 하여 “세상에서 가장 귀여운 순간 &lt;본투비 어워즈&gt;”라는 귀여운 자녀들의 영상을 공모받아 숏폼 영상 제작 및 홍보를 진행한 바 있습니다, 
  - 앞으로 제안하신 내용을 반영하여 결혼에 대한 인식을 긍정적으로 전환하고 전국민이 참여하여 저출생 문제를 해결할 수 있는 방안을 검토하도록 하겠습니다. 
4. 아울러, 정부에서는 결혼·임신·출산·육아에 대한 긍정적인 인식 변화와 가족 친화적인 사회 분위기 조성을 위하여 정책 홍보와 인식 변화를 목표로 하는 영상을 활용하여 온라인 광고, TV, 옥외 광고 등을 진행한 바 있으며, 올해도 방송 매체를 활용한 홍보를 계획 중에 있습니다. 
5. 정부는 정책을 만들고 실천함에 있어서 국민의 의견을 충분히 반영할 수 있도록 더욱 노력하겠습니다. 아울러 보다 나은 정책을 만들기 위해 국민들과 지속적으로 소통하며 고민하겠습니다. 인구 정책에 관한 소중한 의견 주셔서 감사드리며, 기타 문의사항이 있으신 경우 보건복지부 인구정책총괄과(044-202-3373) 또는 보건복지부 콜센터(국번없이 129)로 연락주시면 안내드리겠습니다. 감사합니다.  끝.</t>
  </si>
  <si>
    <t>1. 안녕하십니까? 귀하께서 국민신문고를 통해 신청하신 제안(1AB-2409-0003734)에 대해 답변을 드립니다.
2. 귀하께서는 육아바우처 카드 지원(만 2세 미만 영아를 둔 부모를 대상으로 소득분위 등을 고려하여 순차적 지급)을 제안해주셨으며, 귀하의 제안에 대한 검토 결과를 아래와 같이 알려드립니다.
  ○ 「아동수당법」 제4조제5항 따라 “만 2세 미만의 아동에게 부모급여를 지급하는 제도”를 시행하고 있으며, 부모급여는 동법 제10조제4항에 따라 현금 또는 바우처로 지원받으실 수 있습니다.
     * '24년 만 0세 100만원, 만 1세 50만원
  ○ 또한. 부모급여는 아동의 건전한 양육을 위한 보편수당으로 지급대상에 해당될 경우 소득분위와 관계없이 지원하고 있습니다.
  ○ 따라서, 귀하께서 제안해주신 육아바우처 카드 지원은 동일하거나 유사한 목적 및 수혜자를 대상으로 한 기존 재정사업과 중복되어 수용하기 어렵다는 사정을 양해해 주시기 바랍니다.
3. 추가로 궁금하신 사항이 있으시면 보건복지부 아동정책과(044-202-3555) 또는 보건복지콜센터(국번 없이 129)로 연락주시기 바랍니다. 감사합니다.  끝.</t>
  </si>
  <si>
    <t>저출산 해결을 위한 비혼모 정자기증 출산 허가</t>
  </si>
  <si>
    <t>현재 남여갈등이나 결혼기피 등으로인해 결혼율이 너무 저조합니다. 결혼은 하기싫지만 출산은 하고싶은 고학력, 경제기반이 마련된 여성들에게 일본연예인 사유리처럼 정자기증 출산을 허락해주세요. 현재는 비혼모 정자기증 제도가 법으로 막혀있는 상황입니다.</t>
  </si>
  <si>
    <t>비혼모 정자기증 출산을 허가하면 출산율이 어떻게든 올라갑니다. OECD국가중 중국을 제외하고 비혼 정자기증 출산이 합법입니다. 스웨덴이나 프랑스같은 유럽은 실제 30퍼센트이상의 출산 산모가 비혼모 신분입니다. 우리나라도 찬물더운물 가릴때가 아닌듯합니다</t>
  </si>
  <si>
    <t>출산율을 높일수있습니다.</t>
  </si>
  <si>
    <t>1. 안녕하십니까? 귀하께서 국민신문고를 통해 신청하신 민원(신청번호 1AB-2409-0009182)에 대한 검토 결과를 다음과 같이 알려드립니다.
2. 귀하의 질의사항에 대해 검토한 의견은 다음과 같습니다.
  ○「생명윤리 및 안전에 관한 법률」(이하 "생명윤리법") 제23조에 따르면 금전, 재산상의 이익 또는 그 밖의 반대급부를 조건으로 배아나 난자 또는 정자를 제공 또는 이용하거나 알선하는 행위는 금지되어 있습니다.
  ○ 또한 생명윤리법 제24조제1항에 따르면 배아생성의료기관에서 배아를 생성하기 위하여 난자 또는 정자를 채취할 때에는 동의권자(난자 기증자, 정자 기증자, 체외수정시술대상자 및 해당 기증자·시술대상자가 배우자가 있는 경우 배우자)의 서면동의를 받도록 규정하고 있습니다. 아울러 동법 시행규칙 제20조제2항에 따라 난자 또는 정자를 기증받아 배아를 생성하는 경우 생식세포 기증 동의서 등을 추가로 받아 배아를 생성할 수 있습니다.
  ○ 배아생성의료기관은 배아 생성 시 그 목적 등에 대해 동의권자에게 충분히 설명한 후 서면동의를 받아야 하며, 체외수정 시술대상자의 배우자가 있는 경우에는 배우자의 서면동의를 받아야 합니다. 만약 배우자가 없는 경우에는 별지 제13호서식 '배아생성 등에 관한 동의서' 작성 시 배우자란에 '해당없음'으로 표기하도록 규정하고 있습니다.
  ○ 따라서 생명윤리법 제23조에 저촉되지 않고 제24조에 따른 적법한 동의를 받았다면 정자를 기증받아 임신이 가능하며, 혼인 여부에 따라 체외수정시술을 별도로 금지 또는 제한하고 있지 않습니다.
3. 기타 보다 자세한 내용이 알고 싶으시다면 보건복지콜센터(129번) 혹은 보건복지부 생명윤리정책과(담당자 044-202-2614)로 문의하시기 바랍니다. 감사합니다.  끝.</t>
  </si>
  <si>
    <t>personal?</t>
  </si>
  <si>
    <t>emotional?</t>
  </si>
  <si>
    <t>good writing?</t>
  </si>
  <si>
    <t>concrete?</t>
  </si>
  <si>
    <t>feasible?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</si>
</sst>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0" fontId="0" fillId="33" borderId="0" xfId="0" applyFont="1" applyFill="1" applyAlignment="1">
      <alignment wrapText="1"/>
    </xf>
    <xf numFmtId="0" fontId="0" fillId="33" borderId="0" xfId="0" applyFont="1" applyFill="1"/>
    <xf numFmtId="0" fontId="0" fillId="0" borderId="0" xfId="0" applyFont="1" applyAlignment="1">
      <alignment wrapText="1"/>
    </xf>
    <xf numFmtId="0" fontId="0" fillId="0" borderId="0" xfId="0" applyFont="1"/>
    <xf numFmtId="14" fontId="0" fillId="0" borderId="0" xfId="0" applyNumberFormat="1" applyFont="1"/>
    <xf numFmtId="0" fontId="0" fillId="34" borderId="0" xfId="0" applyFont="1" applyFill="1" applyAlignment="1">
      <alignment horizontal="center"/>
    </xf>
    <xf numFmtId="0" fontId="0" fillId="0" borderId="0" xfId="0" applyFont="1" applyAlignment="1">
      <alignment horizontal="center" wrapText="1"/>
    </xf>
    <xf numFmtId="0" fontId="0"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5"/>
  <sheetViews>
    <sheetView tabSelected="1" zoomScale="60" zoomScaleNormal="60" workbookViewId="0">
      <pane ySplit="1" topLeftCell="A183" activePane="bottomLeft" state="frozen"/>
      <selection activeCell="F1" sqref="F1"/>
      <selection pane="bottomLeft" activeCell="A184" sqref="A184"/>
    </sheetView>
  </sheetViews>
  <sheetFormatPr defaultRowHeight="14.6" x14ac:dyDescent="0.4"/>
  <cols>
    <col min="1" max="1" width="30.69140625" style="1" customWidth="1"/>
    <col min="2" max="2" width="0" hidden="1" customWidth="1"/>
    <col min="3" max="3" width="10.15234375" customWidth="1"/>
    <col min="4" max="4" width="8.84375" hidden="1" customWidth="1"/>
    <col min="5" max="5" width="14.23046875" bestFit="1" customWidth="1"/>
    <col min="6" max="6" width="13.61328125" hidden="1" customWidth="1"/>
    <col min="7" max="7" width="10.84375" hidden="1" customWidth="1"/>
    <col min="8" max="8" width="100.69140625" style="1" customWidth="1"/>
    <col min="9" max="9" width="100.69140625" customWidth="1"/>
    <col min="10" max="10" width="100.69140625" style="1" customWidth="1"/>
    <col min="11" max="11" width="8.84375" style="10" bestFit="1" customWidth="1"/>
    <col min="12" max="12" width="10.15234375" style="10" customWidth="1"/>
    <col min="13" max="13" width="12.15234375" style="10" bestFit="1" customWidth="1"/>
    <col min="14" max="14" width="8.921875" style="10" bestFit="1" customWidth="1"/>
    <col min="15" max="15" width="9" style="10" bestFit="1" customWidth="1"/>
    <col min="16" max="16" width="100.69140625" hidden="1" customWidth="1"/>
    <col min="17" max="17" width="11.921875" hidden="1" customWidth="1"/>
    <col min="18" max="18" width="16.69140625" hidden="1" customWidth="1"/>
    <col min="19" max="19" width="9.3046875" hidden="1" customWidth="1"/>
    <col min="20" max="20" width="4.84375" hidden="1" customWidth="1"/>
  </cols>
  <sheetData>
    <row r="1" spans="1:20" x14ac:dyDescent="0.4">
      <c r="A1" s="2" t="s">
        <v>0</v>
      </c>
      <c r="B1" s="3" t="s">
        <v>1</v>
      </c>
      <c r="C1" s="3" t="s">
        <v>2</v>
      </c>
      <c r="D1" s="3" t="s">
        <v>3</v>
      </c>
      <c r="E1" s="3" t="s">
        <v>4</v>
      </c>
      <c r="F1" s="3" t="s">
        <v>5</v>
      </c>
      <c r="G1" s="3" t="s">
        <v>6</v>
      </c>
      <c r="H1" s="2" t="s">
        <v>7</v>
      </c>
      <c r="I1" s="3" t="s">
        <v>8</v>
      </c>
      <c r="J1" s="2" t="s">
        <v>9</v>
      </c>
      <c r="K1" s="7" t="s">
        <v>963</v>
      </c>
      <c r="L1" s="7" t="s">
        <v>964</v>
      </c>
      <c r="M1" s="7" t="s">
        <v>965</v>
      </c>
      <c r="N1" s="7" t="s">
        <v>967</v>
      </c>
      <c r="O1" s="7" t="s">
        <v>966</v>
      </c>
      <c r="P1" s="3" t="s">
        <v>10</v>
      </c>
      <c r="Q1" s="3" t="s">
        <v>11</v>
      </c>
      <c r="R1" s="3" t="s">
        <v>12</v>
      </c>
      <c r="S1" s="3" t="s">
        <v>13</v>
      </c>
      <c r="T1" s="3" t="s">
        <v>14</v>
      </c>
    </row>
    <row r="2" spans="1:20" ht="364.3" x14ac:dyDescent="0.4">
      <c r="A2" s="4" t="s">
        <v>15</v>
      </c>
      <c r="B2" s="5" t="s">
        <v>16</v>
      </c>
      <c r="C2" s="5" t="s">
        <v>17</v>
      </c>
      <c r="D2" s="5" t="s">
        <v>18</v>
      </c>
      <c r="E2" s="6">
        <v>44197</v>
      </c>
      <c r="F2" s="6">
        <v>44236</v>
      </c>
      <c r="G2" s="5" t="s">
        <v>19</v>
      </c>
      <c r="H2" s="4" t="s">
        <v>20</v>
      </c>
      <c r="I2" s="4" t="s">
        <v>21</v>
      </c>
      <c r="J2" s="4" t="s">
        <v>22</v>
      </c>
      <c r="K2" s="8">
        <v>1</v>
      </c>
      <c r="L2" s="8">
        <v>0</v>
      </c>
      <c r="M2" s="8">
        <v>1</v>
      </c>
      <c r="N2" s="8">
        <v>1</v>
      </c>
      <c r="O2" s="8">
        <v>1</v>
      </c>
      <c r="P2" s="4" t="s">
        <v>23</v>
      </c>
      <c r="Q2" s="5">
        <v>20240125</v>
      </c>
      <c r="R2" s="5" t="s">
        <v>17</v>
      </c>
      <c r="S2" s="5" t="s">
        <v>17</v>
      </c>
      <c r="T2" s="5">
        <v>2021</v>
      </c>
    </row>
    <row r="3" spans="1:20" ht="408" x14ac:dyDescent="0.4">
      <c r="A3" s="4" t="s">
        <v>24</v>
      </c>
      <c r="B3" s="5" t="s">
        <v>16</v>
      </c>
      <c r="C3" s="5" t="s">
        <v>17</v>
      </c>
      <c r="D3" s="5" t="s">
        <v>18</v>
      </c>
      <c r="E3" s="6">
        <v>44210</v>
      </c>
      <c r="F3" s="6">
        <v>44236</v>
      </c>
      <c r="G3" s="5" t="s">
        <v>19</v>
      </c>
      <c r="H3" s="4" t="s">
        <v>25</v>
      </c>
      <c r="I3" s="4" t="s">
        <v>26</v>
      </c>
      <c r="J3" s="4" t="s">
        <v>27</v>
      </c>
      <c r="K3" s="9">
        <v>0</v>
      </c>
      <c r="L3" s="9">
        <v>0</v>
      </c>
      <c r="M3" s="9">
        <v>1</v>
      </c>
      <c r="N3" s="9">
        <v>0</v>
      </c>
      <c r="O3" s="9">
        <v>1</v>
      </c>
      <c r="P3" s="4" t="s">
        <v>28</v>
      </c>
      <c r="Q3" s="5">
        <v>20240125</v>
      </c>
      <c r="R3" s="5" t="s">
        <v>17</v>
      </c>
      <c r="S3" s="5" t="s">
        <v>17</v>
      </c>
      <c r="T3" s="5">
        <v>2021</v>
      </c>
    </row>
    <row r="4" spans="1:20" ht="409.6" x14ac:dyDescent="0.4">
      <c r="A4" s="4" t="s">
        <v>29</v>
      </c>
      <c r="B4" s="5" t="s">
        <v>16</v>
      </c>
      <c r="C4" s="5" t="s">
        <v>17</v>
      </c>
      <c r="D4" s="5" t="s">
        <v>18</v>
      </c>
      <c r="E4" s="6">
        <v>44208</v>
      </c>
      <c r="F4" s="6">
        <v>44236</v>
      </c>
      <c r="G4" s="5" t="s">
        <v>19</v>
      </c>
      <c r="H4" s="4" t="s">
        <v>30</v>
      </c>
      <c r="I4" s="4" t="s">
        <v>31</v>
      </c>
      <c r="J4" s="4" t="s">
        <v>32</v>
      </c>
      <c r="K4" s="8">
        <v>0</v>
      </c>
      <c r="L4" s="8">
        <v>1</v>
      </c>
      <c r="M4" s="8">
        <v>0</v>
      </c>
      <c r="N4" s="8">
        <v>0</v>
      </c>
      <c r="O4" s="8">
        <v>1</v>
      </c>
      <c r="P4" s="4" t="s">
        <v>33</v>
      </c>
      <c r="Q4" s="5">
        <v>20240125</v>
      </c>
      <c r="R4" s="5" t="s">
        <v>17</v>
      </c>
      <c r="S4" s="5" t="s">
        <v>17</v>
      </c>
      <c r="T4" s="5">
        <v>2021</v>
      </c>
    </row>
    <row r="5" spans="1:20" ht="409.6" x14ac:dyDescent="0.4">
      <c r="A5" s="4" t="s">
        <v>34</v>
      </c>
      <c r="B5" s="5" t="s">
        <v>16</v>
      </c>
      <c r="C5" s="5" t="s">
        <v>17</v>
      </c>
      <c r="D5" s="5" t="s">
        <v>18</v>
      </c>
      <c r="E5" s="6">
        <v>44208</v>
      </c>
      <c r="F5" s="6">
        <v>44274</v>
      </c>
      <c r="G5" s="5" t="s">
        <v>19</v>
      </c>
      <c r="H5" s="4" t="s">
        <v>35</v>
      </c>
      <c r="I5" s="4" t="s">
        <v>36</v>
      </c>
      <c r="J5" s="4" t="s">
        <v>37</v>
      </c>
      <c r="K5" s="8">
        <v>1</v>
      </c>
      <c r="L5" s="8">
        <v>0</v>
      </c>
      <c r="M5" s="8">
        <v>0</v>
      </c>
      <c r="N5" s="8">
        <v>0</v>
      </c>
      <c r="O5" s="8">
        <v>0</v>
      </c>
      <c r="P5" s="4" t="s">
        <v>38</v>
      </c>
      <c r="Q5" s="5">
        <v>20240125</v>
      </c>
      <c r="R5" s="5" t="s">
        <v>17</v>
      </c>
      <c r="S5" s="5" t="s">
        <v>17</v>
      </c>
      <c r="T5" s="5">
        <v>2021</v>
      </c>
    </row>
    <row r="6" spans="1:20" ht="349.75" x14ac:dyDescent="0.4">
      <c r="A6" s="4" t="s">
        <v>39</v>
      </c>
      <c r="B6" s="5" t="s">
        <v>16</v>
      </c>
      <c r="C6" s="5" t="s">
        <v>17</v>
      </c>
      <c r="D6" s="5" t="s">
        <v>18</v>
      </c>
      <c r="E6" s="6">
        <v>44214</v>
      </c>
      <c r="F6" s="6">
        <v>44230</v>
      </c>
      <c r="G6" s="5" t="s">
        <v>19</v>
      </c>
      <c r="H6" s="4" t="s">
        <v>40</v>
      </c>
      <c r="I6" s="4" t="s">
        <v>41</v>
      </c>
      <c r="J6" s="4" t="s">
        <v>42</v>
      </c>
      <c r="K6" s="8">
        <v>0</v>
      </c>
      <c r="L6" s="8">
        <v>0</v>
      </c>
      <c r="M6" s="8">
        <v>0</v>
      </c>
      <c r="N6" s="8">
        <v>0</v>
      </c>
      <c r="O6" s="8">
        <v>0</v>
      </c>
      <c r="P6" s="4" t="s">
        <v>43</v>
      </c>
      <c r="Q6" s="5">
        <v>20240125</v>
      </c>
      <c r="R6" s="5" t="s">
        <v>17</v>
      </c>
      <c r="S6" s="5" t="s">
        <v>17</v>
      </c>
      <c r="T6" s="5">
        <v>2021</v>
      </c>
    </row>
    <row r="7" spans="1:20" ht="349.75" x14ac:dyDescent="0.4">
      <c r="A7" s="4" t="s">
        <v>44</v>
      </c>
      <c r="B7" s="5" t="s">
        <v>16</v>
      </c>
      <c r="C7" s="5" t="s">
        <v>45</v>
      </c>
      <c r="D7" s="5" t="s">
        <v>18</v>
      </c>
      <c r="E7" s="6">
        <v>44212</v>
      </c>
      <c r="F7" s="6">
        <v>44754</v>
      </c>
      <c r="G7" s="5" t="s">
        <v>19</v>
      </c>
      <c r="H7" s="4" t="s">
        <v>46</v>
      </c>
      <c r="I7" s="4" t="s">
        <v>47</v>
      </c>
      <c r="J7" s="4" t="s">
        <v>48</v>
      </c>
      <c r="K7" s="8">
        <v>0</v>
      </c>
      <c r="L7" s="8">
        <v>0</v>
      </c>
      <c r="M7" s="8">
        <v>0</v>
      </c>
      <c r="N7" s="8">
        <v>0</v>
      </c>
      <c r="O7" s="8">
        <v>0</v>
      </c>
      <c r="P7" s="4" t="s">
        <v>49</v>
      </c>
      <c r="Q7" s="5">
        <v>20240125</v>
      </c>
      <c r="R7" s="5" t="s">
        <v>17</v>
      </c>
      <c r="S7" s="5" t="s">
        <v>17</v>
      </c>
      <c r="T7" s="5">
        <v>2021</v>
      </c>
    </row>
    <row r="8" spans="1:20" ht="306" x14ac:dyDescent="0.4">
      <c r="A8" s="4" t="s">
        <v>50</v>
      </c>
      <c r="B8" s="5" t="s">
        <v>16</v>
      </c>
      <c r="C8" s="5" t="s">
        <v>17</v>
      </c>
      <c r="D8" s="5" t="s">
        <v>18</v>
      </c>
      <c r="E8" s="6">
        <v>44226</v>
      </c>
      <c r="F8" s="6">
        <v>44237</v>
      </c>
      <c r="G8" s="5" t="s">
        <v>19</v>
      </c>
      <c r="H8" s="4" t="s">
        <v>51</v>
      </c>
      <c r="I8" s="4" t="s">
        <v>52</v>
      </c>
      <c r="J8" s="4" t="s">
        <v>53</v>
      </c>
      <c r="K8" s="8">
        <v>0</v>
      </c>
      <c r="L8" s="8">
        <v>0</v>
      </c>
      <c r="M8" s="8">
        <v>1</v>
      </c>
      <c r="N8" s="8">
        <v>0</v>
      </c>
      <c r="O8" s="8">
        <v>1</v>
      </c>
      <c r="P8" s="4" t="s">
        <v>54</v>
      </c>
      <c r="Q8" s="5">
        <v>20240125</v>
      </c>
      <c r="R8" s="5" t="s">
        <v>17</v>
      </c>
      <c r="S8" s="5" t="s">
        <v>17</v>
      </c>
      <c r="T8" s="5">
        <v>2021</v>
      </c>
    </row>
    <row r="9" spans="1:20" ht="306" x14ac:dyDescent="0.4">
      <c r="A9" s="4" t="s">
        <v>55</v>
      </c>
      <c r="B9" s="5" t="s">
        <v>16</v>
      </c>
      <c r="C9" s="5" t="s">
        <v>17</v>
      </c>
      <c r="D9" s="5" t="s">
        <v>18</v>
      </c>
      <c r="E9" s="6">
        <v>44245</v>
      </c>
      <c r="F9" s="6">
        <v>44438</v>
      </c>
      <c r="G9" s="5" t="s">
        <v>19</v>
      </c>
      <c r="H9" s="4" t="s">
        <v>56</v>
      </c>
      <c r="I9" s="5" t="s">
        <v>57</v>
      </c>
      <c r="J9" s="4" t="s">
        <v>58</v>
      </c>
      <c r="K9" s="9">
        <v>1</v>
      </c>
      <c r="L9" s="9">
        <v>0</v>
      </c>
      <c r="M9" s="9">
        <v>0</v>
      </c>
      <c r="N9" s="9">
        <v>1</v>
      </c>
      <c r="O9" s="9">
        <v>1</v>
      </c>
      <c r="P9" s="4" t="s">
        <v>59</v>
      </c>
      <c r="Q9" s="5">
        <v>20240125</v>
      </c>
      <c r="R9" s="5" t="s">
        <v>17</v>
      </c>
      <c r="S9" s="5" t="s">
        <v>17</v>
      </c>
      <c r="T9" s="5">
        <v>2021</v>
      </c>
    </row>
    <row r="10" spans="1:20" ht="409.6" x14ac:dyDescent="0.4">
      <c r="A10" s="4" t="s">
        <v>60</v>
      </c>
      <c r="B10" s="5" t="s">
        <v>16</v>
      </c>
      <c r="C10" s="5" t="s">
        <v>17</v>
      </c>
      <c r="D10" s="5" t="s">
        <v>18</v>
      </c>
      <c r="E10" s="6">
        <v>44251</v>
      </c>
      <c r="F10" s="6">
        <v>44287</v>
      </c>
      <c r="G10" s="5" t="s">
        <v>19</v>
      </c>
      <c r="H10" s="4" t="s">
        <v>61</v>
      </c>
      <c r="I10" s="4" t="s">
        <v>62</v>
      </c>
      <c r="J10" s="4" t="s">
        <v>63</v>
      </c>
      <c r="K10" s="8">
        <v>0</v>
      </c>
      <c r="L10" s="8">
        <v>1</v>
      </c>
      <c r="M10" s="8">
        <v>0</v>
      </c>
      <c r="N10" s="8">
        <v>0</v>
      </c>
      <c r="O10" s="8">
        <v>1</v>
      </c>
      <c r="P10" s="4" t="s">
        <v>64</v>
      </c>
      <c r="Q10" s="5">
        <v>20240125</v>
      </c>
      <c r="R10" s="5" t="s">
        <v>17</v>
      </c>
      <c r="S10" s="5" t="s">
        <v>17</v>
      </c>
      <c r="T10" s="5">
        <v>2021</v>
      </c>
    </row>
    <row r="11" spans="1:20" ht="335.15" x14ac:dyDescent="0.4">
      <c r="A11" s="4" t="s">
        <v>65</v>
      </c>
      <c r="B11" s="5" t="s">
        <v>16</v>
      </c>
      <c r="C11" s="5" t="s">
        <v>17</v>
      </c>
      <c r="D11" s="5" t="s">
        <v>18</v>
      </c>
      <c r="E11" s="6">
        <v>44256</v>
      </c>
      <c r="F11" s="6">
        <v>44295</v>
      </c>
      <c r="G11" s="5" t="s">
        <v>19</v>
      </c>
      <c r="H11" s="4" t="s">
        <v>66</v>
      </c>
      <c r="I11" s="4" t="s">
        <v>67</v>
      </c>
      <c r="J11" s="4" t="s">
        <v>68</v>
      </c>
      <c r="K11" s="8">
        <v>0</v>
      </c>
      <c r="L11" s="8">
        <v>1</v>
      </c>
      <c r="M11" s="8">
        <v>0</v>
      </c>
      <c r="N11" s="8">
        <v>0</v>
      </c>
      <c r="O11" s="8">
        <v>0</v>
      </c>
      <c r="P11" s="4" t="s">
        <v>69</v>
      </c>
      <c r="Q11" s="5">
        <v>20240125</v>
      </c>
      <c r="R11" s="5" t="s">
        <v>17</v>
      </c>
      <c r="S11" s="5" t="s">
        <v>17</v>
      </c>
      <c r="T11" s="5">
        <v>2021</v>
      </c>
    </row>
    <row r="12" spans="1:20" ht="409.6" x14ac:dyDescent="0.4">
      <c r="A12" s="4" t="s">
        <v>70</v>
      </c>
      <c r="B12" s="5" t="s">
        <v>16</v>
      </c>
      <c r="C12" s="5" t="s">
        <v>17</v>
      </c>
      <c r="D12" s="5" t="s">
        <v>18</v>
      </c>
      <c r="E12" s="6">
        <v>44255</v>
      </c>
      <c r="F12" s="6">
        <v>44279</v>
      </c>
      <c r="G12" s="5" t="s">
        <v>19</v>
      </c>
      <c r="H12" s="4" t="s">
        <v>71</v>
      </c>
      <c r="I12" s="4" t="s">
        <v>72</v>
      </c>
      <c r="J12" s="4" t="s">
        <v>73</v>
      </c>
      <c r="K12" s="9">
        <v>0</v>
      </c>
      <c r="L12" s="9">
        <v>0</v>
      </c>
      <c r="M12" s="9">
        <v>0</v>
      </c>
      <c r="N12" s="9">
        <v>0</v>
      </c>
      <c r="O12" s="9">
        <v>1</v>
      </c>
      <c r="P12" s="4" t="s">
        <v>74</v>
      </c>
      <c r="Q12" s="5">
        <v>20240125</v>
      </c>
      <c r="R12" s="5" t="s">
        <v>17</v>
      </c>
      <c r="S12" s="5" t="s">
        <v>17</v>
      </c>
      <c r="T12" s="5">
        <v>2021</v>
      </c>
    </row>
    <row r="13" spans="1:20" ht="409.6" x14ac:dyDescent="0.4">
      <c r="A13" s="4" t="s">
        <v>75</v>
      </c>
      <c r="B13" s="5" t="s">
        <v>16</v>
      </c>
      <c r="C13" s="5" t="s">
        <v>17</v>
      </c>
      <c r="D13" s="5" t="s">
        <v>18</v>
      </c>
      <c r="E13" s="6">
        <v>44253</v>
      </c>
      <c r="F13" s="6">
        <v>44287</v>
      </c>
      <c r="G13" s="5" t="s">
        <v>19</v>
      </c>
      <c r="H13" s="4" t="s">
        <v>76</v>
      </c>
      <c r="I13" s="4" t="s">
        <v>77</v>
      </c>
      <c r="J13" s="4" t="s">
        <v>78</v>
      </c>
      <c r="K13" s="8">
        <v>1</v>
      </c>
      <c r="L13" s="8">
        <v>0</v>
      </c>
      <c r="M13" s="8">
        <v>1</v>
      </c>
      <c r="N13" s="8">
        <v>1</v>
      </c>
      <c r="O13" s="8">
        <v>1</v>
      </c>
      <c r="P13" s="4" t="s">
        <v>79</v>
      </c>
      <c r="Q13" s="5">
        <v>20240125</v>
      </c>
      <c r="R13" s="5" t="s">
        <v>17</v>
      </c>
      <c r="S13" s="5" t="s">
        <v>17</v>
      </c>
      <c r="T13" s="5">
        <v>2021</v>
      </c>
    </row>
    <row r="14" spans="1:20" ht="306" x14ac:dyDescent="0.4">
      <c r="A14" s="4" t="s">
        <v>80</v>
      </c>
      <c r="B14" s="5" t="s">
        <v>16</v>
      </c>
      <c r="C14" s="5" t="s">
        <v>17</v>
      </c>
      <c r="D14" s="5" t="s">
        <v>18</v>
      </c>
      <c r="E14" s="6">
        <v>44278</v>
      </c>
      <c r="F14" s="6">
        <v>44294</v>
      </c>
      <c r="G14" s="5" t="s">
        <v>19</v>
      </c>
      <c r="H14" s="4" t="s">
        <v>81</v>
      </c>
      <c r="I14" s="4" t="s">
        <v>82</v>
      </c>
      <c r="J14" s="4" t="e">
        <f>- 공직자 솔선수범
 - 애국심 고양</f>
        <v>#NAME?</v>
      </c>
      <c r="K14" s="9">
        <v>0</v>
      </c>
      <c r="L14" s="9">
        <v>1</v>
      </c>
      <c r="M14" s="9">
        <v>0</v>
      </c>
      <c r="N14" s="9">
        <v>0</v>
      </c>
      <c r="O14" s="9">
        <v>0</v>
      </c>
      <c r="P14" s="4" t="s">
        <v>83</v>
      </c>
      <c r="Q14" s="5">
        <v>20240125</v>
      </c>
      <c r="R14" s="5" t="s">
        <v>17</v>
      </c>
      <c r="S14" s="5" t="s">
        <v>17</v>
      </c>
      <c r="T14" s="5">
        <v>2021</v>
      </c>
    </row>
    <row r="15" spans="1:20" ht="291.45" x14ac:dyDescent="0.4">
      <c r="A15" s="4" t="s">
        <v>84</v>
      </c>
      <c r="B15" s="5" t="s">
        <v>16</v>
      </c>
      <c r="C15" s="5" t="s">
        <v>17</v>
      </c>
      <c r="D15" s="5" t="s">
        <v>18</v>
      </c>
      <c r="E15" s="6">
        <v>44286</v>
      </c>
      <c r="F15" s="6">
        <v>44314</v>
      </c>
      <c r="G15" s="5" t="s">
        <v>19</v>
      </c>
      <c r="H15" s="4" t="s">
        <v>85</v>
      </c>
      <c r="I15" s="4" t="s">
        <v>86</v>
      </c>
      <c r="J15" s="4" t="e">
        <f>-정기체류 외국인 납세자로서 국내 지속적 체류할 수 있도록 자녀 보육 고민 해소
-아이 키우기 좋은 나라 이미지 확립으로 국가 위상 제공</f>
        <v>#NAME?</v>
      </c>
      <c r="K15" s="9"/>
      <c r="L15" s="9"/>
      <c r="M15" s="9"/>
      <c r="N15" s="9"/>
      <c r="O15" s="9"/>
      <c r="P15" s="4" t="s">
        <v>87</v>
      </c>
      <c r="Q15" s="5">
        <v>20240125</v>
      </c>
      <c r="R15" s="5" t="s">
        <v>17</v>
      </c>
      <c r="S15" s="5" t="s">
        <v>17</v>
      </c>
      <c r="T15" s="5">
        <v>2021</v>
      </c>
    </row>
    <row r="16" spans="1:20" ht="409.6" x14ac:dyDescent="0.4">
      <c r="A16" s="4" t="s">
        <v>88</v>
      </c>
      <c r="B16" s="5" t="s">
        <v>16</v>
      </c>
      <c r="C16" s="5" t="s">
        <v>17</v>
      </c>
      <c r="D16" s="5" t="s">
        <v>18</v>
      </c>
      <c r="E16" s="6">
        <v>44282</v>
      </c>
      <c r="F16" s="6">
        <v>44294</v>
      </c>
      <c r="G16" s="5" t="s">
        <v>19</v>
      </c>
      <c r="H16" s="4" t="s">
        <v>89</v>
      </c>
      <c r="I16" s="4" t="s">
        <v>90</v>
      </c>
      <c r="J16" s="4" t="s">
        <v>91</v>
      </c>
      <c r="K16" s="8"/>
      <c r="L16" s="8"/>
      <c r="M16" s="8"/>
      <c r="N16" s="8"/>
      <c r="O16" s="8"/>
      <c r="P16" s="4" t="s">
        <v>92</v>
      </c>
      <c r="Q16" s="5">
        <v>20240125</v>
      </c>
      <c r="R16" s="5" t="s">
        <v>17</v>
      </c>
      <c r="S16" s="5" t="s">
        <v>17</v>
      </c>
      <c r="T16" s="5">
        <v>2021</v>
      </c>
    </row>
    <row r="17" spans="1:20" ht="409.6" x14ac:dyDescent="0.4">
      <c r="A17" s="4" t="s">
        <v>93</v>
      </c>
      <c r="B17" s="5" t="s">
        <v>16</v>
      </c>
      <c r="C17" s="5" t="s">
        <v>17</v>
      </c>
      <c r="D17" s="5" t="s">
        <v>18</v>
      </c>
      <c r="E17" s="6">
        <v>44292</v>
      </c>
      <c r="F17" s="6">
        <v>44312</v>
      </c>
      <c r="G17" s="5" t="s">
        <v>19</v>
      </c>
      <c r="H17" s="4" t="s">
        <v>94</v>
      </c>
      <c r="I17" s="4" t="s">
        <v>95</v>
      </c>
      <c r="J17" s="4" t="s">
        <v>96</v>
      </c>
      <c r="K17" s="8"/>
      <c r="L17" s="8"/>
      <c r="M17" s="8"/>
      <c r="N17" s="8"/>
      <c r="O17" s="8"/>
      <c r="P17" s="4" t="s">
        <v>97</v>
      </c>
      <c r="Q17" s="5">
        <v>20240125</v>
      </c>
      <c r="R17" s="5" t="s">
        <v>17</v>
      </c>
      <c r="S17" s="5" t="s">
        <v>17</v>
      </c>
      <c r="T17" s="5">
        <v>2021</v>
      </c>
    </row>
    <row r="18" spans="1:20" ht="409.6" x14ac:dyDescent="0.4">
      <c r="A18" s="4" t="s">
        <v>98</v>
      </c>
      <c r="B18" s="5" t="s">
        <v>16</v>
      </c>
      <c r="C18" s="5" t="s">
        <v>17</v>
      </c>
      <c r="D18" s="5" t="s">
        <v>18</v>
      </c>
      <c r="E18" s="6">
        <v>44306</v>
      </c>
      <c r="F18" s="6">
        <v>44312</v>
      </c>
      <c r="G18" s="5" t="s">
        <v>19</v>
      </c>
      <c r="H18" s="4" t="s">
        <v>99</v>
      </c>
      <c r="I18" s="5" t="s">
        <v>100</v>
      </c>
      <c r="J18" s="4" t="s">
        <v>101</v>
      </c>
      <c r="K18" s="8"/>
      <c r="L18" s="8"/>
      <c r="M18" s="8"/>
      <c r="N18" s="8"/>
      <c r="O18" s="8"/>
      <c r="P18" s="4" t="s">
        <v>102</v>
      </c>
      <c r="Q18" s="5">
        <v>20240125</v>
      </c>
      <c r="R18" s="5" t="s">
        <v>17</v>
      </c>
      <c r="S18" s="5" t="s">
        <v>17</v>
      </c>
      <c r="T18" s="5">
        <v>2021</v>
      </c>
    </row>
    <row r="19" spans="1:20" ht="291.45" x14ac:dyDescent="0.4">
      <c r="A19" s="4" t="s">
        <v>103</v>
      </c>
      <c r="B19" s="5" t="s">
        <v>16</v>
      </c>
      <c r="C19" s="5" t="s">
        <v>17</v>
      </c>
      <c r="D19" s="5" t="s">
        <v>18</v>
      </c>
      <c r="E19" s="6">
        <v>44304</v>
      </c>
      <c r="F19" s="6">
        <v>44333</v>
      </c>
      <c r="G19" s="5" t="s">
        <v>19</v>
      </c>
      <c r="H19" s="4" t="s">
        <v>104</v>
      </c>
      <c r="I19" s="5" t="s">
        <v>105</v>
      </c>
      <c r="J19" s="4" t="s">
        <v>106</v>
      </c>
      <c r="K19" s="8"/>
      <c r="L19" s="8"/>
      <c r="M19" s="8"/>
      <c r="N19" s="8"/>
      <c r="O19" s="8"/>
      <c r="P19" s="4" t="s">
        <v>107</v>
      </c>
      <c r="Q19" s="5">
        <v>20240125</v>
      </c>
      <c r="R19" s="5" t="s">
        <v>17</v>
      </c>
      <c r="S19" s="5" t="s">
        <v>17</v>
      </c>
      <c r="T19" s="5">
        <v>2021</v>
      </c>
    </row>
    <row r="20" spans="1:20" ht="409.6" x14ac:dyDescent="0.4">
      <c r="A20" s="4" t="s">
        <v>108</v>
      </c>
      <c r="B20" s="5" t="s">
        <v>16</v>
      </c>
      <c r="C20" s="5" t="s">
        <v>17</v>
      </c>
      <c r="D20" s="5" t="s">
        <v>18</v>
      </c>
      <c r="E20" s="6">
        <v>44302</v>
      </c>
      <c r="F20" s="6">
        <v>44313</v>
      </c>
      <c r="G20" s="5" t="s">
        <v>19</v>
      </c>
      <c r="H20" s="4" t="s">
        <v>109</v>
      </c>
      <c r="I20" s="4" t="s">
        <v>110</v>
      </c>
      <c r="J20" s="4" t="s">
        <v>111</v>
      </c>
      <c r="K20" s="8"/>
      <c r="L20" s="8"/>
      <c r="M20" s="8"/>
      <c r="N20" s="8"/>
      <c r="O20" s="8"/>
      <c r="P20" s="4" t="s">
        <v>112</v>
      </c>
      <c r="Q20" s="5">
        <v>20240125</v>
      </c>
      <c r="R20" s="5" t="s">
        <v>17</v>
      </c>
      <c r="S20" s="5" t="s">
        <v>17</v>
      </c>
      <c r="T20" s="5">
        <v>2021</v>
      </c>
    </row>
    <row r="21" spans="1:20" ht="320.60000000000002" x14ac:dyDescent="0.4">
      <c r="A21" s="4" t="s">
        <v>113</v>
      </c>
      <c r="B21" s="5" t="s">
        <v>16</v>
      </c>
      <c r="C21" s="5" t="s">
        <v>17</v>
      </c>
      <c r="D21" s="5" t="s">
        <v>18</v>
      </c>
      <c r="E21" s="6">
        <v>44309</v>
      </c>
      <c r="F21" s="6">
        <v>44340</v>
      </c>
      <c r="G21" s="5" t="s">
        <v>19</v>
      </c>
      <c r="H21" s="4" t="s">
        <v>114</v>
      </c>
      <c r="I21" s="5" t="s">
        <v>115</v>
      </c>
      <c r="J21" s="4" t="s">
        <v>116</v>
      </c>
      <c r="K21" s="9"/>
      <c r="L21" s="9"/>
      <c r="M21" s="9"/>
      <c r="N21" s="9"/>
      <c r="O21" s="9"/>
      <c r="P21" s="4" t="s">
        <v>117</v>
      </c>
      <c r="Q21" s="5">
        <v>20240125</v>
      </c>
      <c r="R21" s="5" t="s">
        <v>17</v>
      </c>
      <c r="S21" s="5" t="s">
        <v>17</v>
      </c>
      <c r="T21" s="5">
        <v>2021</v>
      </c>
    </row>
    <row r="22" spans="1:20" ht="276.89999999999998" x14ac:dyDescent="0.4">
      <c r="A22" s="4" t="s">
        <v>118</v>
      </c>
      <c r="B22" s="5" t="s">
        <v>16</v>
      </c>
      <c r="C22" s="5" t="s">
        <v>17</v>
      </c>
      <c r="D22" s="5" t="s">
        <v>18</v>
      </c>
      <c r="E22" s="6">
        <v>44327</v>
      </c>
      <c r="F22" s="6">
        <v>44447</v>
      </c>
      <c r="G22" s="5" t="s">
        <v>19</v>
      </c>
      <c r="H22" s="4" t="s">
        <v>119</v>
      </c>
      <c r="I22" s="4" t="s">
        <v>120</v>
      </c>
      <c r="J22" s="4" t="s">
        <v>121</v>
      </c>
      <c r="K22" s="9"/>
      <c r="L22" s="9"/>
      <c r="M22" s="9"/>
      <c r="N22" s="9"/>
      <c r="O22" s="9"/>
      <c r="P22" s="4" t="s">
        <v>122</v>
      </c>
      <c r="Q22" s="5">
        <v>20240125</v>
      </c>
      <c r="R22" s="5" t="s">
        <v>17</v>
      </c>
      <c r="S22" s="5" t="s">
        <v>17</v>
      </c>
      <c r="T22" s="5">
        <v>2021</v>
      </c>
    </row>
    <row r="23" spans="1:20" ht="218.6" x14ac:dyDescent="0.4">
      <c r="A23" s="4" t="s">
        <v>123</v>
      </c>
      <c r="B23" s="5" t="s">
        <v>16</v>
      </c>
      <c r="C23" s="5" t="s">
        <v>17</v>
      </c>
      <c r="D23" s="5" t="s">
        <v>18</v>
      </c>
      <c r="E23" s="6">
        <v>44334</v>
      </c>
      <c r="F23" s="6">
        <v>44355</v>
      </c>
      <c r="G23" s="5" t="s">
        <v>19</v>
      </c>
      <c r="H23" s="4" t="s">
        <v>124</v>
      </c>
      <c r="I23" s="4" t="s">
        <v>125</v>
      </c>
      <c r="J23" s="4" t="s">
        <v>126</v>
      </c>
      <c r="K23" s="8"/>
      <c r="L23" s="8"/>
      <c r="M23" s="8"/>
      <c r="N23" s="8"/>
      <c r="O23" s="8"/>
      <c r="P23" s="4" t="s">
        <v>127</v>
      </c>
      <c r="Q23" s="5">
        <v>20240125</v>
      </c>
      <c r="R23" s="5" t="s">
        <v>17</v>
      </c>
      <c r="S23" s="5" t="s">
        <v>17</v>
      </c>
      <c r="T23" s="5">
        <v>2021</v>
      </c>
    </row>
    <row r="24" spans="1:20" ht="409.6" x14ac:dyDescent="0.4">
      <c r="A24" s="4" t="s">
        <v>128</v>
      </c>
      <c r="B24" s="5" t="s">
        <v>16</v>
      </c>
      <c r="C24" s="5" t="s">
        <v>17</v>
      </c>
      <c r="D24" s="5" t="s">
        <v>18</v>
      </c>
      <c r="E24" s="6">
        <v>44331</v>
      </c>
      <c r="F24" s="6">
        <v>44447</v>
      </c>
      <c r="G24" s="5" t="s">
        <v>19</v>
      </c>
      <c r="H24" s="4" t="s">
        <v>129</v>
      </c>
      <c r="I24" s="4" t="s">
        <v>130</v>
      </c>
      <c r="J24" s="4" t="s">
        <v>131</v>
      </c>
      <c r="K24" s="8"/>
      <c r="L24" s="8"/>
      <c r="M24" s="8"/>
      <c r="N24" s="8"/>
      <c r="O24" s="8"/>
      <c r="P24" s="4" t="s">
        <v>132</v>
      </c>
      <c r="Q24" s="5">
        <v>20240125</v>
      </c>
      <c r="R24" s="5" t="s">
        <v>17</v>
      </c>
      <c r="S24" s="5" t="s">
        <v>17</v>
      </c>
      <c r="T24" s="5">
        <v>2021</v>
      </c>
    </row>
    <row r="25" spans="1:20" ht="409.6" x14ac:dyDescent="0.4">
      <c r="A25" s="4" t="s">
        <v>128</v>
      </c>
      <c r="B25" s="5" t="s">
        <v>16</v>
      </c>
      <c r="C25" s="5" t="s">
        <v>17</v>
      </c>
      <c r="D25" s="5" t="s">
        <v>18</v>
      </c>
      <c r="E25" s="6">
        <v>44339</v>
      </c>
      <c r="F25" s="6">
        <v>44447</v>
      </c>
      <c r="G25" s="5" t="s">
        <v>19</v>
      </c>
      <c r="H25" s="4" t="s">
        <v>133</v>
      </c>
      <c r="I25" s="4" t="s">
        <v>134</v>
      </c>
      <c r="J25" s="4" t="s">
        <v>131</v>
      </c>
      <c r="K25" s="8"/>
      <c r="L25" s="8"/>
      <c r="M25" s="8"/>
      <c r="N25" s="8"/>
      <c r="O25" s="8"/>
      <c r="P25" s="4" t="s">
        <v>132</v>
      </c>
      <c r="Q25" s="5">
        <v>20240125</v>
      </c>
      <c r="R25" s="5" t="s">
        <v>17</v>
      </c>
      <c r="S25" s="5" t="s">
        <v>17</v>
      </c>
      <c r="T25" s="5">
        <v>2021</v>
      </c>
    </row>
    <row r="26" spans="1:20" ht="247.75" x14ac:dyDescent="0.4">
      <c r="A26" s="4" t="s">
        <v>135</v>
      </c>
      <c r="B26" s="5" t="s">
        <v>16</v>
      </c>
      <c r="C26" s="5" t="s">
        <v>17</v>
      </c>
      <c r="D26" s="5" t="s">
        <v>18</v>
      </c>
      <c r="E26" s="6">
        <v>44349</v>
      </c>
      <c r="F26" s="6">
        <v>44547</v>
      </c>
      <c r="G26" s="5" t="s">
        <v>19</v>
      </c>
      <c r="H26" s="4" t="s">
        <v>136</v>
      </c>
      <c r="I26" s="4" t="s">
        <v>137</v>
      </c>
      <c r="J26" s="4" t="s">
        <v>138</v>
      </c>
      <c r="K26" s="8"/>
      <c r="L26" s="8"/>
      <c r="M26" s="8"/>
      <c r="N26" s="8"/>
      <c r="O26" s="8"/>
      <c r="P26" s="4" t="s">
        <v>139</v>
      </c>
      <c r="Q26" s="5">
        <v>20240125</v>
      </c>
      <c r="R26" s="5" t="s">
        <v>17</v>
      </c>
      <c r="S26" s="5" t="s">
        <v>17</v>
      </c>
      <c r="T26" s="5">
        <v>2021</v>
      </c>
    </row>
    <row r="27" spans="1:20" ht="276.89999999999998" x14ac:dyDescent="0.4">
      <c r="A27" s="4" t="s">
        <v>140</v>
      </c>
      <c r="B27" s="5" t="s">
        <v>16</v>
      </c>
      <c r="C27" s="5" t="s">
        <v>17</v>
      </c>
      <c r="D27" s="5" t="s">
        <v>18</v>
      </c>
      <c r="E27" s="6">
        <v>44359</v>
      </c>
      <c r="F27" s="6">
        <v>44754</v>
      </c>
      <c r="G27" s="5" t="s">
        <v>19</v>
      </c>
      <c r="H27" s="4" t="s">
        <v>141</v>
      </c>
      <c r="I27" s="4" t="s">
        <v>142</v>
      </c>
      <c r="J27" s="4" t="s">
        <v>143</v>
      </c>
      <c r="K27" s="8"/>
      <c r="L27" s="8"/>
      <c r="M27" s="8"/>
      <c r="N27" s="8"/>
      <c r="O27" s="8"/>
      <c r="P27" s="4" t="s">
        <v>144</v>
      </c>
      <c r="Q27" s="5">
        <v>20240125</v>
      </c>
      <c r="R27" s="5" t="s">
        <v>17</v>
      </c>
      <c r="S27" s="5" t="s">
        <v>17</v>
      </c>
      <c r="T27" s="5">
        <v>2021</v>
      </c>
    </row>
    <row r="28" spans="1:20" ht="409.6" x14ac:dyDescent="0.4">
      <c r="A28" s="4" t="s">
        <v>140</v>
      </c>
      <c r="B28" s="5" t="s">
        <v>16</v>
      </c>
      <c r="C28" s="5" t="s">
        <v>17</v>
      </c>
      <c r="D28" s="5" t="s">
        <v>18</v>
      </c>
      <c r="E28" s="6">
        <v>44371</v>
      </c>
      <c r="F28" s="6">
        <v>44411</v>
      </c>
      <c r="G28" s="5" t="s">
        <v>19</v>
      </c>
      <c r="H28" s="4" t="s">
        <v>145</v>
      </c>
      <c r="I28" s="4" t="s">
        <v>146</v>
      </c>
      <c r="J28" s="4" t="s">
        <v>147</v>
      </c>
      <c r="K28" s="9"/>
      <c r="L28" s="9"/>
      <c r="M28" s="9"/>
      <c r="N28" s="9"/>
      <c r="O28" s="9"/>
      <c r="P28" s="4" t="s">
        <v>148</v>
      </c>
      <c r="Q28" s="5">
        <v>20240126</v>
      </c>
      <c r="R28" s="5" t="s">
        <v>17</v>
      </c>
      <c r="S28" s="5" t="s">
        <v>17</v>
      </c>
      <c r="T28" s="5">
        <v>2021</v>
      </c>
    </row>
    <row r="29" spans="1:20" ht="306" x14ac:dyDescent="0.4">
      <c r="A29" s="4" t="s">
        <v>149</v>
      </c>
      <c r="B29" s="5" t="s">
        <v>16</v>
      </c>
      <c r="C29" s="5" t="s">
        <v>17</v>
      </c>
      <c r="D29" s="5" t="s">
        <v>18</v>
      </c>
      <c r="E29" s="6">
        <v>44390</v>
      </c>
      <c r="F29" s="6">
        <v>44419</v>
      </c>
      <c r="G29" s="5" t="s">
        <v>19</v>
      </c>
      <c r="H29" s="4" t="s">
        <v>150</v>
      </c>
      <c r="I29" s="5" t="s">
        <v>151</v>
      </c>
      <c r="J29" s="4" t="s">
        <v>152</v>
      </c>
      <c r="K29" s="8"/>
      <c r="L29" s="8"/>
      <c r="M29" s="8"/>
      <c r="N29" s="8"/>
      <c r="O29" s="8"/>
      <c r="P29" s="4" t="s">
        <v>153</v>
      </c>
      <c r="Q29" s="5">
        <v>20240126</v>
      </c>
      <c r="R29" s="5" t="s">
        <v>17</v>
      </c>
      <c r="S29" s="5" t="s">
        <v>17</v>
      </c>
      <c r="T29" s="5">
        <v>2021</v>
      </c>
    </row>
    <row r="30" spans="1:20" ht="276.89999999999998" x14ac:dyDescent="0.4">
      <c r="A30" s="4" t="s">
        <v>154</v>
      </c>
      <c r="B30" s="5" t="s">
        <v>16</v>
      </c>
      <c r="C30" s="5" t="s">
        <v>17</v>
      </c>
      <c r="D30" s="5" t="s">
        <v>18</v>
      </c>
      <c r="E30" s="6">
        <v>44393</v>
      </c>
      <c r="F30" s="6">
        <v>44440</v>
      </c>
      <c r="G30" s="5" t="s">
        <v>19</v>
      </c>
      <c r="H30" s="4" t="e">
        <f>-저출산문제 중 다양한 원인중에 유아 양육비 부담도 하나의 변수임
-양육비라고 한다면 유아식, 유아의류, 기타 유아용품 등이 있음
-보호자가 지출하는 유아용품 구매비용이 상당함
-정부가 유아용품 구매비용을 일부 지원하는 정책이 필요함
-정부가 비용일부를 지원하기 위한 안정된 상거래시스템 개발 필요</f>
        <v>#NAME?</v>
      </c>
      <c r="I30" s="4" t="s">
        <v>155</v>
      </c>
      <c r="J30" s="4" t="e">
        <f>-저출산 원인인 양육비 부담의 하나인 유아용품 비용지원으로 가정경제 부담 해소
-유아용품을 제조하는 중소기업은 정부가 운영하는 시스템으로 기업지원 효과</f>
        <v>#NAME?</v>
      </c>
      <c r="K30" s="9"/>
      <c r="L30" s="9"/>
      <c r="M30" s="9"/>
      <c r="N30" s="9"/>
      <c r="O30" s="9"/>
      <c r="P30" s="4" t="s">
        <v>156</v>
      </c>
      <c r="Q30" s="5">
        <v>20240126</v>
      </c>
      <c r="R30" s="5" t="s">
        <v>17</v>
      </c>
      <c r="S30" s="5" t="s">
        <v>17</v>
      </c>
      <c r="T30" s="5">
        <v>2021</v>
      </c>
    </row>
    <row r="31" spans="1:20" ht="218.6" x14ac:dyDescent="0.4">
      <c r="A31" s="4" t="s">
        <v>157</v>
      </c>
      <c r="B31" s="5" t="s">
        <v>16</v>
      </c>
      <c r="C31" s="5" t="s">
        <v>17</v>
      </c>
      <c r="D31" s="5" t="s">
        <v>18</v>
      </c>
      <c r="E31" s="6">
        <v>44426</v>
      </c>
      <c r="F31" s="6">
        <v>44456</v>
      </c>
      <c r="G31" s="5" t="s">
        <v>19</v>
      </c>
      <c r="H31" s="4" t="s">
        <v>158</v>
      </c>
      <c r="I31" s="4" t="s">
        <v>159</v>
      </c>
      <c r="J31" s="4" t="s">
        <v>160</v>
      </c>
      <c r="K31" s="9"/>
      <c r="L31" s="9"/>
      <c r="M31" s="9"/>
      <c r="N31" s="9"/>
      <c r="O31" s="9"/>
      <c r="P31" s="4" t="s">
        <v>161</v>
      </c>
      <c r="Q31" s="5">
        <v>20240126</v>
      </c>
      <c r="R31" s="5" t="s">
        <v>17</v>
      </c>
      <c r="S31" s="5" t="s">
        <v>17</v>
      </c>
      <c r="T31" s="5">
        <v>2021</v>
      </c>
    </row>
    <row r="32" spans="1:20" ht="409.6" x14ac:dyDescent="0.4">
      <c r="A32" s="4" t="s">
        <v>162</v>
      </c>
      <c r="B32" s="5" t="s">
        <v>16</v>
      </c>
      <c r="C32" s="5" t="s">
        <v>163</v>
      </c>
      <c r="D32" s="5" t="s">
        <v>18</v>
      </c>
      <c r="E32" s="6">
        <v>44422</v>
      </c>
      <c r="F32" s="6">
        <v>44441</v>
      </c>
      <c r="G32" s="5" t="s">
        <v>19</v>
      </c>
      <c r="H32" s="4" t="s">
        <v>164</v>
      </c>
      <c r="I32" s="4" t="s">
        <v>165</v>
      </c>
      <c r="J32" s="4" t="s">
        <v>166</v>
      </c>
      <c r="K32" s="8"/>
      <c r="L32" s="8"/>
      <c r="M32" s="8"/>
      <c r="N32" s="8"/>
      <c r="O32" s="8"/>
      <c r="P32" s="4" t="s">
        <v>167</v>
      </c>
      <c r="Q32" s="5">
        <v>20240126</v>
      </c>
      <c r="R32" s="5" t="s">
        <v>17</v>
      </c>
      <c r="S32" s="5" t="s">
        <v>17</v>
      </c>
      <c r="T32" s="5">
        <v>2021</v>
      </c>
    </row>
    <row r="33" spans="1:20" ht="408" x14ac:dyDescent="0.4">
      <c r="A33" s="4" t="s">
        <v>168</v>
      </c>
      <c r="B33" s="5" t="s">
        <v>16</v>
      </c>
      <c r="C33" s="5" t="s">
        <v>17</v>
      </c>
      <c r="D33" s="5" t="s">
        <v>18</v>
      </c>
      <c r="E33" s="6">
        <v>44433</v>
      </c>
      <c r="F33" s="6">
        <v>44440</v>
      </c>
      <c r="G33" s="5" t="s">
        <v>19</v>
      </c>
      <c r="H33" s="4" t="s">
        <v>169</v>
      </c>
      <c r="I33" s="5" t="s">
        <v>170</v>
      </c>
      <c r="J33" s="4" t="s">
        <v>171</v>
      </c>
      <c r="K33" s="8"/>
      <c r="L33" s="8"/>
      <c r="M33" s="8"/>
      <c r="N33" s="8"/>
      <c r="O33" s="8"/>
      <c r="P33" s="4" t="s">
        <v>172</v>
      </c>
      <c r="Q33" s="5">
        <v>20240126</v>
      </c>
      <c r="R33" s="5" t="s">
        <v>17</v>
      </c>
      <c r="S33" s="5" t="s">
        <v>17</v>
      </c>
      <c r="T33" s="5">
        <v>2021</v>
      </c>
    </row>
    <row r="34" spans="1:20" ht="409.6" x14ac:dyDescent="0.4">
      <c r="A34" s="4" t="s">
        <v>173</v>
      </c>
      <c r="B34" s="5" t="s">
        <v>16</v>
      </c>
      <c r="C34" s="5" t="s">
        <v>17</v>
      </c>
      <c r="D34" s="5" t="s">
        <v>18</v>
      </c>
      <c r="E34" s="6">
        <v>44439</v>
      </c>
      <c r="F34" s="6">
        <v>44468</v>
      </c>
      <c r="G34" s="5" t="s">
        <v>19</v>
      </c>
      <c r="H34" s="4" t="s">
        <v>174</v>
      </c>
      <c r="I34" s="4" t="s">
        <v>175</v>
      </c>
      <c r="J34" s="4" t="s">
        <v>176</v>
      </c>
      <c r="K34" s="8"/>
      <c r="L34" s="8"/>
      <c r="M34" s="8"/>
      <c r="N34" s="8"/>
      <c r="O34" s="8"/>
      <c r="P34" s="4" t="s">
        <v>177</v>
      </c>
      <c r="Q34" s="5">
        <v>20240126</v>
      </c>
      <c r="R34" s="5" t="s">
        <v>17</v>
      </c>
      <c r="S34" s="5" t="s">
        <v>17</v>
      </c>
      <c r="T34" s="5">
        <v>2021</v>
      </c>
    </row>
    <row r="35" spans="1:20" ht="409.6" x14ac:dyDescent="0.4">
      <c r="A35" s="4" t="s">
        <v>178</v>
      </c>
      <c r="B35" s="5" t="s">
        <v>16</v>
      </c>
      <c r="C35" s="5" t="s">
        <v>17</v>
      </c>
      <c r="D35" s="5" t="s">
        <v>18</v>
      </c>
      <c r="E35" s="6">
        <v>44478</v>
      </c>
      <c r="F35" s="6">
        <v>44522</v>
      </c>
      <c r="G35" s="5" t="s">
        <v>19</v>
      </c>
      <c r="H35" s="4" t="s">
        <v>179</v>
      </c>
      <c r="I35" s="4" t="s">
        <v>180</v>
      </c>
      <c r="J35" s="4" t="s">
        <v>181</v>
      </c>
      <c r="K35" s="8"/>
      <c r="L35" s="8"/>
      <c r="M35" s="8"/>
      <c r="N35" s="8"/>
      <c r="O35" s="8"/>
      <c r="P35" s="4" t="s">
        <v>182</v>
      </c>
      <c r="Q35" s="5">
        <v>20240126</v>
      </c>
      <c r="R35" s="5" t="s">
        <v>17</v>
      </c>
      <c r="S35" s="5" t="s">
        <v>17</v>
      </c>
      <c r="T35" s="5">
        <v>2021</v>
      </c>
    </row>
    <row r="36" spans="1:20" ht="335.15" x14ac:dyDescent="0.4">
      <c r="A36" s="4" t="s">
        <v>183</v>
      </c>
      <c r="B36" s="5" t="s">
        <v>16</v>
      </c>
      <c r="C36" s="5" t="s">
        <v>17</v>
      </c>
      <c r="D36" s="5" t="s">
        <v>18</v>
      </c>
      <c r="E36" s="6">
        <v>44492</v>
      </c>
      <c r="F36" s="6">
        <v>44572</v>
      </c>
      <c r="G36" s="5" t="s">
        <v>19</v>
      </c>
      <c r="H36" s="4" t="s">
        <v>184</v>
      </c>
      <c r="I36" s="4" t="s">
        <v>185</v>
      </c>
      <c r="J36" s="4" t="s">
        <v>186</v>
      </c>
      <c r="K36" s="8"/>
      <c r="L36" s="8"/>
      <c r="M36" s="8"/>
      <c r="N36" s="8"/>
      <c r="O36" s="8"/>
      <c r="P36" s="4" t="s">
        <v>187</v>
      </c>
      <c r="Q36" s="5">
        <v>20240126</v>
      </c>
      <c r="R36" s="5" t="s">
        <v>17</v>
      </c>
      <c r="S36" s="5" t="s">
        <v>17</v>
      </c>
      <c r="T36" s="5">
        <v>2021</v>
      </c>
    </row>
    <row r="37" spans="1:20" ht="262.3" x14ac:dyDescent="0.4">
      <c r="A37" s="4" t="s">
        <v>188</v>
      </c>
      <c r="B37" s="5" t="s">
        <v>16</v>
      </c>
      <c r="C37" s="5" t="s">
        <v>17</v>
      </c>
      <c r="D37" s="5" t="s">
        <v>18</v>
      </c>
      <c r="E37" s="6">
        <v>44504</v>
      </c>
      <c r="F37" s="6">
        <v>44537</v>
      </c>
      <c r="G37" s="5" t="s">
        <v>19</v>
      </c>
      <c r="H37" s="4" t="s">
        <v>189</v>
      </c>
      <c r="I37" s="4" t="s">
        <v>190</v>
      </c>
      <c r="J37" s="4" t="s">
        <v>191</v>
      </c>
      <c r="K37" s="8"/>
      <c r="L37" s="8"/>
      <c r="M37" s="8"/>
      <c r="N37" s="8"/>
      <c r="O37" s="8"/>
      <c r="P37" s="4" t="s">
        <v>192</v>
      </c>
      <c r="Q37" s="5">
        <v>20240126</v>
      </c>
      <c r="R37" s="5" t="s">
        <v>17</v>
      </c>
      <c r="S37" s="5" t="s">
        <v>17</v>
      </c>
      <c r="T37" s="5">
        <v>2021</v>
      </c>
    </row>
    <row r="38" spans="1:20" ht="409.6" x14ac:dyDescent="0.4">
      <c r="A38" s="4" t="s">
        <v>193</v>
      </c>
      <c r="B38" s="5" t="s">
        <v>16</v>
      </c>
      <c r="C38" s="5" t="s">
        <v>194</v>
      </c>
      <c r="D38" s="5" t="s">
        <v>18</v>
      </c>
      <c r="E38" s="6">
        <v>44503</v>
      </c>
      <c r="F38" s="6">
        <v>44529</v>
      </c>
      <c r="G38" s="5" t="s">
        <v>19</v>
      </c>
      <c r="H38" s="4" t="s">
        <v>195</v>
      </c>
      <c r="I38" s="4" t="s">
        <v>196</v>
      </c>
      <c r="J38" s="4" t="s">
        <v>197</v>
      </c>
      <c r="K38" s="8"/>
      <c r="L38" s="8"/>
      <c r="M38" s="8"/>
      <c r="N38" s="8"/>
      <c r="O38" s="8"/>
      <c r="P38" s="4" t="s">
        <v>198</v>
      </c>
      <c r="Q38" s="5">
        <v>20240126</v>
      </c>
      <c r="R38" s="5" t="s">
        <v>17</v>
      </c>
      <c r="S38" s="5" t="s">
        <v>17</v>
      </c>
      <c r="T38" s="5">
        <v>2021</v>
      </c>
    </row>
    <row r="39" spans="1:20" ht="320.60000000000002" x14ac:dyDescent="0.4">
      <c r="A39" s="4" t="s">
        <v>199</v>
      </c>
      <c r="B39" s="5" t="s">
        <v>16</v>
      </c>
      <c r="C39" s="5" t="s">
        <v>17</v>
      </c>
      <c r="D39" s="5" t="s">
        <v>18</v>
      </c>
      <c r="E39" s="6">
        <v>44502</v>
      </c>
      <c r="F39" s="6">
        <v>44532</v>
      </c>
      <c r="G39" s="5" t="s">
        <v>19</v>
      </c>
      <c r="H39" s="4" t="s">
        <v>200</v>
      </c>
      <c r="I39" s="4" t="s">
        <v>201</v>
      </c>
      <c r="J39" s="4" t="s">
        <v>202</v>
      </c>
      <c r="K39" s="8"/>
      <c r="L39" s="8"/>
      <c r="M39" s="8"/>
      <c r="N39" s="8"/>
      <c r="O39" s="8"/>
      <c r="P39" s="4" t="s">
        <v>203</v>
      </c>
      <c r="Q39" s="5">
        <v>20240126</v>
      </c>
      <c r="R39" s="5" t="s">
        <v>17</v>
      </c>
      <c r="S39" s="5" t="s">
        <v>17</v>
      </c>
      <c r="T39" s="5">
        <v>2021</v>
      </c>
    </row>
    <row r="40" spans="1:20" ht="247.75" x14ac:dyDescent="0.4">
      <c r="A40" s="4" t="s">
        <v>204</v>
      </c>
      <c r="B40" s="5" t="s">
        <v>16</v>
      </c>
      <c r="C40" s="5" t="s">
        <v>17</v>
      </c>
      <c r="D40" s="5" t="s">
        <v>18</v>
      </c>
      <c r="E40" s="6">
        <v>44528</v>
      </c>
      <c r="F40" s="6">
        <v>44676</v>
      </c>
      <c r="G40" s="5" t="s">
        <v>19</v>
      </c>
      <c r="H40" s="4" t="s">
        <v>205</v>
      </c>
      <c r="I40" s="4" t="s">
        <v>206</v>
      </c>
      <c r="J40" s="4" t="s">
        <v>207</v>
      </c>
      <c r="K40" s="9"/>
      <c r="L40" s="9"/>
      <c r="M40" s="9"/>
      <c r="N40" s="9"/>
      <c r="O40" s="9"/>
      <c r="P40" s="4" t="s">
        <v>208</v>
      </c>
      <c r="Q40" s="5">
        <v>20240126</v>
      </c>
      <c r="R40" s="5" t="s">
        <v>17</v>
      </c>
      <c r="S40" s="5" t="s">
        <v>17</v>
      </c>
      <c r="T40" s="5">
        <v>2021</v>
      </c>
    </row>
    <row r="41" spans="1:20" ht="409.6" x14ac:dyDescent="0.4">
      <c r="A41" s="4" t="s">
        <v>209</v>
      </c>
      <c r="B41" s="5" t="s">
        <v>16</v>
      </c>
      <c r="C41" s="5" t="s">
        <v>210</v>
      </c>
      <c r="D41" s="5" t="s">
        <v>18</v>
      </c>
      <c r="E41" s="6">
        <v>44546</v>
      </c>
      <c r="F41" s="6">
        <v>44701</v>
      </c>
      <c r="G41" s="5" t="s">
        <v>19</v>
      </c>
      <c r="H41" s="4" t="s">
        <v>211</v>
      </c>
      <c r="I41" s="4" t="s">
        <v>212</v>
      </c>
      <c r="J41" s="4" t="s">
        <v>213</v>
      </c>
      <c r="K41" s="8"/>
      <c r="L41" s="8"/>
      <c r="M41" s="8"/>
      <c r="N41" s="8"/>
      <c r="O41" s="8"/>
      <c r="P41" s="4" t="s">
        <v>214</v>
      </c>
      <c r="Q41" s="5">
        <v>20240126</v>
      </c>
      <c r="R41" s="5" t="s">
        <v>17</v>
      </c>
      <c r="S41" s="5" t="s">
        <v>17</v>
      </c>
      <c r="T41" s="5">
        <v>2021</v>
      </c>
    </row>
    <row r="42" spans="1:20" ht="409.6" x14ac:dyDescent="0.4">
      <c r="A42" s="4" t="s">
        <v>215</v>
      </c>
      <c r="B42" s="5" t="s">
        <v>16</v>
      </c>
      <c r="C42" s="5" t="s">
        <v>17</v>
      </c>
      <c r="D42" s="5" t="s">
        <v>18</v>
      </c>
      <c r="E42" s="6">
        <v>44543</v>
      </c>
      <c r="F42" s="6">
        <v>44588</v>
      </c>
      <c r="G42" s="5" t="s">
        <v>19</v>
      </c>
      <c r="H42" s="4" t="s">
        <v>216</v>
      </c>
      <c r="I42" s="4" t="s">
        <v>217</v>
      </c>
      <c r="J42" s="4" t="s">
        <v>218</v>
      </c>
      <c r="K42" s="8"/>
      <c r="L42" s="8"/>
      <c r="M42" s="8"/>
      <c r="N42" s="8"/>
      <c r="O42" s="8"/>
      <c r="P42" s="4" t="s">
        <v>219</v>
      </c>
      <c r="Q42" s="5">
        <v>20240126</v>
      </c>
      <c r="R42" s="5" t="s">
        <v>17</v>
      </c>
      <c r="S42" s="5" t="s">
        <v>17</v>
      </c>
      <c r="T42" s="5">
        <v>2021</v>
      </c>
    </row>
    <row r="43" spans="1:20" ht="409.6" x14ac:dyDescent="0.4">
      <c r="A43" s="4" t="s">
        <v>220</v>
      </c>
      <c r="B43" s="5" t="s">
        <v>16</v>
      </c>
      <c r="C43" s="5" t="s">
        <v>17</v>
      </c>
      <c r="D43" s="5" t="s">
        <v>18</v>
      </c>
      <c r="E43" s="6">
        <v>44551</v>
      </c>
      <c r="F43" s="6">
        <v>44585</v>
      </c>
      <c r="G43" s="5" t="s">
        <v>19</v>
      </c>
      <c r="H43" s="4" t="s">
        <v>221</v>
      </c>
      <c r="I43" s="4" t="s">
        <v>222</v>
      </c>
      <c r="J43" s="4" t="s">
        <v>223</v>
      </c>
      <c r="K43" s="8"/>
      <c r="L43" s="8"/>
      <c r="M43" s="8"/>
      <c r="N43" s="8"/>
      <c r="O43" s="8"/>
      <c r="P43" s="4" t="s">
        <v>224</v>
      </c>
      <c r="Q43" s="5">
        <v>20240126</v>
      </c>
      <c r="R43" s="5" t="s">
        <v>17</v>
      </c>
      <c r="S43" s="5" t="s">
        <v>17</v>
      </c>
      <c r="T43" s="5">
        <v>2021</v>
      </c>
    </row>
    <row r="44" spans="1:20" ht="262.3" x14ac:dyDescent="0.4">
      <c r="A44" s="4" t="s">
        <v>225</v>
      </c>
      <c r="B44" s="5" t="s">
        <v>16</v>
      </c>
      <c r="C44" s="5" t="s">
        <v>17</v>
      </c>
      <c r="D44" s="5" t="s">
        <v>18</v>
      </c>
      <c r="E44" s="6">
        <v>44560</v>
      </c>
      <c r="F44" s="6">
        <v>44595</v>
      </c>
      <c r="G44" s="5" t="s">
        <v>19</v>
      </c>
      <c r="H44" s="4" t="s">
        <v>226</v>
      </c>
      <c r="I44" s="4" t="s">
        <v>227</v>
      </c>
      <c r="J44" s="4" t="s">
        <v>228</v>
      </c>
      <c r="K44" s="9"/>
      <c r="L44" s="9"/>
      <c r="M44" s="9"/>
      <c r="N44" s="9"/>
      <c r="O44" s="9"/>
      <c r="P44" s="4" t="s">
        <v>229</v>
      </c>
      <c r="Q44" s="5">
        <v>20240126</v>
      </c>
      <c r="R44" s="5" t="s">
        <v>17</v>
      </c>
      <c r="S44" s="5" t="s">
        <v>17</v>
      </c>
      <c r="T44" s="5">
        <v>2021</v>
      </c>
    </row>
    <row r="45" spans="1:20" ht="364.3" x14ac:dyDescent="0.4">
      <c r="A45" s="4" t="s">
        <v>230</v>
      </c>
      <c r="B45" s="5" t="s">
        <v>16</v>
      </c>
      <c r="C45" s="5" t="s">
        <v>17</v>
      </c>
      <c r="D45" s="5" t="s">
        <v>18</v>
      </c>
      <c r="E45" s="6">
        <v>44557</v>
      </c>
      <c r="F45" s="6">
        <v>44701</v>
      </c>
      <c r="G45" s="5" t="s">
        <v>19</v>
      </c>
      <c r="H45" s="4" t="s">
        <v>231</v>
      </c>
      <c r="I45" s="4" t="s">
        <v>232</v>
      </c>
      <c r="J45" s="4" t="s">
        <v>233</v>
      </c>
      <c r="K45" s="8"/>
      <c r="L45" s="8"/>
      <c r="M45" s="8"/>
      <c r="N45" s="8"/>
      <c r="O45" s="8"/>
      <c r="P45" s="4" t="s">
        <v>234</v>
      </c>
      <c r="Q45" s="5">
        <v>20240126</v>
      </c>
      <c r="R45" s="5" t="s">
        <v>17</v>
      </c>
      <c r="S45" s="5" t="s">
        <v>17</v>
      </c>
      <c r="T45" s="5">
        <v>2021</v>
      </c>
    </row>
    <row r="46" spans="1:20" ht="409.6" x14ac:dyDescent="0.4">
      <c r="A46" s="4" t="s">
        <v>235</v>
      </c>
      <c r="B46" s="5" t="s">
        <v>16</v>
      </c>
      <c r="C46" s="5" t="s">
        <v>17</v>
      </c>
      <c r="D46" s="5" t="s">
        <v>18</v>
      </c>
      <c r="E46" s="6">
        <v>44566</v>
      </c>
      <c r="F46" s="6">
        <v>44588</v>
      </c>
      <c r="G46" s="5" t="s">
        <v>19</v>
      </c>
      <c r="H46" s="4" t="s">
        <v>236</v>
      </c>
      <c r="I46" s="4" t="s">
        <v>237</v>
      </c>
      <c r="J46" s="4" t="s">
        <v>238</v>
      </c>
      <c r="K46" s="8"/>
      <c r="L46" s="8"/>
      <c r="M46" s="8"/>
      <c r="N46" s="8"/>
      <c r="O46" s="8"/>
      <c r="P46" s="4" t="s">
        <v>239</v>
      </c>
      <c r="Q46" s="5">
        <v>20240125</v>
      </c>
      <c r="R46" s="5" t="s">
        <v>17</v>
      </c>
      <c r="S46" s="5" t="s">
        <v>17</v>
      </c>
      <c r="T46" s="5">
        <v>2022</v>
      </c>
    </row>
    <row r="47" spans="1:20" ht="409.6" x14ac:dyDescent="0.4">
      <c r="A47" s="4" t="s">
        <v>240</v>
      </c>
      <c r="B47" s="5" t="s">
        <v>16</v>
      </c>
      <c r="C47" s="5" t="s">
        <v>17</v>
      </c>
      <c r="D47" s="5" t="s">
        <v>18</v>
      </c>
      <c r="E47" s="6">
        <v>44570</v>
      </c>
      <c r="F47" s="6">
        <v>44720</v>
      </c>
      <c r="G47" s="5" t="s">
        <v>19</v>
      </c>
      <c r="H47" s="4" t="s">
        <v>241</v>
      </c>
      <c r="I47" s="4" t="s">
        <v>242</v>
      </c>
      <c r="J47" s="4" t="e">
        <f>- 다자녀 양육의 보람 등 국민인식 개선.
- 자발적 참여로 출산율 제고.</f>
        <v>#NAME?</v>
      </c>
      <c r="K47" s="9"/>
      <c r="L47" s="9"/>
      <c r="M47" s="9"/>
      <c r="N47" s="9"/>
      <c r="O47" s="9"/>
      <c r="P47" s="4" t="s">
        <v>243</v>
      </c>
      <c r="Q47" s="5">
        <v>20240125</v>
      </c>
      <c r="R47" s="5" t="s">
        <v>17</v>
      </c>
      <c r="S47" s="5" t="s">
        <v>17</v>
      </c>
      <c r="T47" s="5">
        <v>2022</v>
      </c>
    </row>
    <row r="48" spans="1:20" ht="218.6" x14ac:dyDescent="0.4">
      <c r="A48" s="4" t="s">
        <v>244</v>
      </c>
      <c r="B48" s="5" t="s">
        <v>16</v>
      </c>
      <c r="C48" s="5" t="s">
        <v>17</v>
      </c>
      <c r="D48" s="5" t="s">
        <v>18</v>
      </c>
      <c r="E48" s="6">
        <v>44576</v>
      </c>
      <c r="F48" s="6">
        <v>44739</v>
      </c>
      <c r="G48" s="5" t="s">
        <v>19</v>
      </c>
      <c r="H48" s="4" t="s">
        <v>245</v>
      </c>
      <c r="I48" s="4" t="s">
        <v>246</v>
      </c>
      <c r="J48" s="4" t="s">
        <v>247</v>
      </c>
      <c r="K48" s="9"/>
      <c r="L48" s="9"/>
      <c r="M48" s="9"/>
      <c r="N48" s="9"/>
      <c r="O48" s="9"/>
      <c r="P48" s="4" t="s">
        <v>248</v>
      </c>
      <c r="Q48" s="5">
        <v>20240125</v>
      </c>
      <c r="R48" s="5" t="s">
        <v>17</v>
      </c>
      <c r="S48" s="5" t="s">
        <v>17</v>
      </c>
      <c r="T48" s="5">
        <v>2022</v>
      </c>
    </row>
    <row r="49" spans="1:20" ht="247.75" x14ac:dyDescent="0.4">
      <c r="A49" s="4" t="s">
        <v>249</v>
      </c>
      <c r="B49" s="5" t="s">
        <v>16</v>
      </c>
      <c r="C49" s="5" t="s">
        <v>17</v>
      </c>
      <c r="D49" s="5" t="s">
        <v>18</v>
      </c>
      <c r="E49" s="6">
        <v>44597</v>
      </c>
      <c r="F49" s="6">
        <v>44615</v>
      </c>
      <c r="G49" s="5" t="s">
        <v>19</v>
      </c>
      <c r="H49" s="4" t="s">
        <v>250</v>
      </c>
      <c r="I49" s="4" t="s">
        <v>251</v>
      </c>
      <c r="J49" s="4" t="s">
        <v>252</v>
      </c>
      <c r="K49" s="8"/>
      <c r="L49" s="8"/>
      <c r="M49" s="8"/>
      <c r="N49" s="8"/>
      <c r="O49" s="8"/>
      <c r="P49" s="4" t="s">
        <v>253</v>
      </c>
      <c r="Q49" s="5">
        <v>20240125</v>
      </c>
      <c r="R49" s="5" t="s">
        <v>17</v>
      </c>
      <c r="S49" s="5" t="s">
        <v>17</v>
      </c>
      <c r="T49" s="5">
        <v>2022</v>
      </c>
    </row>
    <row r="50" spans="1:20" ht="409.6" x14ac:dyDescent="0.4">
      <c r="A50" s="4" t="s">
        <v>254</v>
      </c>
      <c r="B50" s="5" t="s">
        <v>16</v>
      </c>
      <c r="C50" s="5" t="s">
        <v>17</v>
      </c>
      <c r="D50" s="5" t="s">
        <v>18</v>
      </c>
      <c r="E50" s="6">
        <v>44606</v>
      </c>
      <c r="F50" s="6">
        <v>44680</v>
      </c>
      <c r="G50" s="5" t="s">
        <v>19</v>
      </c>
      <c r="H50" s="4" t="s">
        <v>255</v>
      </c>
      <c r="I50" s="4" t="s">
        <v>256</v>
      </c>
      <c r="J50" s="4" t="s">
        <v>257</v>
      </c>
      <c r="K50" s="8"/>
      <c r="L50" s="8"/>
      <c r="M50" s="8"/>
      <c r="N50" s="8"/>
      <c r="O50" s="8"/>
      <c r="P50" s="4" t="s">
        <v>258</v>
      </c>
      <c r="Q50" s="5">
        <v>20240125</v>
      </c>
      <c r="R50" s="5" t="s">
        <v>17</v>
      </c>
      <c r="S50" s="5" t="s">
        <v>17</v>
      </c>
      <c r="T50" s="5">
        <v>2022</v>
      </c>
    </row>
    <row r="51" spans="1:20" ht="204" x14ac:dyDescent="0.4">
      <c r="A51" s="4" t="s">
        <v>259</v>
      </c>
      <c r="B51" s="5" t="s">
        <v>16</v>
      </c>
      <c r="C51" s="5" t="s">
        <v>17</v>
      </c>
      <c r="D51" s="5" t="s">
        <v>18</v>
      </c>
      <c r="E51" s="6">
        <v>44662</v>
      </c>
      <c r="F51" s="6">
        <v>44734</v>
      </c>
      <c r="G51" s="5" t="s">
        <v>19</v>
      </c>
      <c r="H51" s="4" t="s">
        <v>260</v>
      </c>
      <c r="I51" s="4" t="s">
        <v>261</v>
      </c>
      <c r="J51" s="4" t="s">
        <v>262</v>
      </c>
      <c r="K51" s="8"/>
      <c r="L51" s="8"/>
      <c r="M51" s="8"/>
      <c r="N51" s="8"/>
      <c r="O51" s="8"/>
      <c r="P51" s="4" t="s">
        <v>263</v>
      </c>
      <c r="Q51" s="5">
        <v>20240125</v>
      </c>
      <c r="R51" s="5" t="s">
        <v>17</v>
      </c>
      <c r="S51" s="5" t="s">
        <v>17</v>
      </c>
      <c r="T51" s="5">
        <v>2022</v>
      </c>
    </row>
    <row r="52" spans="1:20" ht="320.60000000000002" x14ac:dyDescent="0.4">
      <c r="A52" s="4" t="s">
        <v>264</v>
      </c>
      <c r="B52" s="5" t="s">
        <v>16</v>
      </c>
      <c r="C52" s="5" t="s">
        <v>17</v>
      </c>
      <c r="D52" s="5" t="s">
        <v>18</v>
      </c>
      <c r="E52" s="6">
        <v>44662</v>
      </c>
      <c r="F52" s="6">
        <v>44735</v>
      </c>
      <c r="G52" s="5" t="s">
        <v>19</v>
      </c>
      <c r="H52" s="4" t="s">
        <v>265</v>
      </c>
      <c r="I52" s="4" t="s">
        <v>266</v>
      </c>
      <c r="J52" s="4" t="s">
        <v>267</v>
      </c>
      <c r="K52" s="8"/>
      <c r="L52" s="8"/>
      <c r="M52" s="8"/>
      <c r="N52" s="8"/>
      <c r="O52" s="8"/>
      <c r="P52" s="4" t="s">
        <v>268</v>
      </c>
      <c r="Q52" s="5">
        <v>20240125</v>
      </c>
      <c r="R52" s="5" t="s">
        <v>17</v>
      </c>
      <c r="S52" s="5" t="s">
        <v>17</v>
      </c>
      <c r="T52" s="5">
        <v>2022</v>
      </c>
    </row>
    <row r="53" spans="1:20" ht="409.6" x14ac:dyDescent="0.4">
      <c r="A53" s="4" t="s">
        <v>269</v>
      </c>
      <c r="B53" s="5" t="s">
        <v>16</v>
      </c>
      <c r="C53" s="5" t="s">
        <v>17</v>
      </c>
      <c r="D53" s="5" t="s">
        <v>18</v>
      </c>
      <c r="E53" s="6">
        <v>44671</v>
      </c>
      <c r="F53" s="6">
        <v>44700</v>
      </c>
      <c r="G53" s="5" t="s">
        <v>19</v>
      </c>
      <c r="H53" s="4" t="s">
        <v>270</v>
      </c>
      <c r="I53" s="4" t="s">
        <v>271</v>
      </c>
      <c r="J53" s="4" t="s">
        <v>272</v>
      </c>
      <c r="K53" s="9"/>
      <c r="L53" s="9"/>
      <c r="M53" s="9"/>
      <c r="N53" s="9"/>
      <c r="O53" s="9"/>
      <c r="P53" s="4" t="s">
        <v>273</v>
      </c>
      <c r="Q53" s="5">
        <v>20240125</v>
      </c>
      <c r="R53" s="5" t="s">
        <v>17</v>
      </c>
      <c r="S53" s="5" t="s">
        <v>17</v>
      </c>
      <c r="T53" s="5">
        <v>2022</v>
      </c>
    </row>
    <row r="54" spans="1:20" ht="409.6" x14ac:dyDescent="0.4">
      <c r="A54" s="4" t="s">
        <v>274</v>
      </c>
      <c r="B54" s="5" t="s">
        <v>16</v>
      </c>
      <c r="C54" s="5" t="s">
        <v>17</v>
      </c>
      <c r="D54" s="5" t="s">
        <v>18</v>
      </c>
      <c r="E54" s="6">
        <v>44701</v>
      </c>
      <c r="F54" s="6">
        <v>44732</v>
      </c>
      <c r="G54" s="5" t="s">
        <v>19</v>
      </c>
      <c r="H54" s="4" t="s">
        <v>275</v>
      </c>
      <c r="I54" s="4" t="s">
        <v>275</v>
      </c>
      <c r="J54" s="4" t="s">
        <v>275</v>
      </c>
      <c r="K54" s="8"/>
      <c r="L54" s="8"/>
      <c r="M54" s="8"/>
      <c r="N54" s="8"/>
      <c r="O54" s="8"/>
      <c r="P54" s="4" t="s">
        <v>276</v>
      </c>
      <c r="Q54" s="5">
        <v>20240125</v>
      </c>
      <c r="R54" s="5" t="s">
        <v>17</v>
      </c>
      <c r="S54" s="5" t="s">
        <v>17</v>
      </c>
      <c r="T54" s="5">
        <v>2022</v>
      </c>
    </row>
    <row r="55" spans="1:20" ht="409.6" x14ac:dyDescent="0.4">
      <c r="A55" s="4" t="s">
        <v>277</v>
      </c>
      <c r="B55" s="5" t="s">
        <v>16</v>
      </c>
      <c r="C55" s="5" t="s">
        <v>17</v>
      </c>
      <c r="D55" s="5" t="s">
        <v>18</v>
      </c>
      <c r="E55" s="6">
        <v>44708</v>
      </c>
      <c r="F55" s="6">
        <v>44741</v>
      </c>
      <c r="G55" s="5" t="s">
        <v>19</v>
      </c>
      <c r="H55" s="4" t="s">
        <v>278</v>
      </c>
      <c r="I55" s="4" t="s">
        <v>279</v>
      </c>
      <c r="J55" s="4" t="s">
        <v>280</v>
      </c>
      <c r="K55" s="8"/>
      <c r="L55" s="8"/>
      <c r="M55" s="8"/>
      <c r="N55" s="8"/>
      <c r="O55" s="8"/>
      <c r="P55" s="4" t="s">
        <v>281</v>
      </c>
      <c r="Q55" s="5">
        <v>20240125</v>
      </c>
      <c r="R55" s="5" t="s">
        <v>17</v>
      </c>
      <c r="S55" s="5" t="s">
        <v>17</v>
      </c>
      <c r="T55" s="5">
        <v>2022</v>
      </c>
    </row>
    <row r="56" spans="1:20" ht="291.45" x14ac:dyDescent="0.4">
      <c r="A56" s="4" t="s">
        <v>282</v>
      </c>
      <c r="B56" s="5" t="s">
        <v>16</v>
      </c>
      <c r="C56" s="5" t="s">
        <v>283</v>
      </c>
      <c r="D56" s="5" t="s">
        <v>18</v>
      </c>
      <c r="E56" s="6">
        <v>44705</v>
      </c>
      <c r="F56" s="6">
        <v>44771</v>
      </c>
      <c r="G56" s="5" t="s">
        <v>19</v>
      </c>
      <c r="H56" s="4" t="s">
        <v>284</v>
      </c>
      <c r="I56" s="5" t="s">
        <v>285</v>
      </c>
      <c r="J56" s="4" t="s">
        <v>286</v>
      </c>
      <c r="K56" s="8"/>
      <c r="L56" s="8"/>
      <c r="M56" s="8"/>
      <c r="N56" s="8"/>
      <c r="O56" s="8"/>
      <c r="P56" s="4" t="s">
        <v>287</v>
      </c>
      <c r="Q56" s="5">
        <v>20240125</v>
      </c>
      <c r="R56" s="5" t="s">
        <v>17</v>
      </c>
      <c r="S56" s="5" t="s">
        <v>17</v>
      </c>
      <c r="T56" s="5">
        <v>2022</v>
      </c>
    </row>
    <row r="57" spans="1:20" ht="262.3" x14ac:dyDescent="0.4">
      <c r="A57" s="4" t="s">
        <v>288</v>
      </c>
      <c r="B57" s="5" t="s">
        <v>16</v>
      </c>
      <c r="C57" s="5" t="s">
        <v>17</v>
      </c>
      <c r="D57" s="5" t="s">
        <v>18</v>
      </c>
      <c r="E57" s="6">
        <v>44721</v>
      </c>
      <c r="F57" s="6">
        <v>44735</v>
      </c>
      <c r="G57" s="5" t="s">
        <v>19</v>
      </c>
      <c r="H57" s="4" t="s">
        <v>289</v>
      </c>
      <c r="I57" s="4" t="s">
        <v>290</v>
      </c>
      <c r="J57" s="4" t="s">
        <v>291</v>
      </c>
      <c r="K57" s="8"/>
      <c r="L57" s="8"/>
      <c r="M57" s="8"/>
      <c r="N57" s="8"/>
      <c r="O57" s="8"/>
      <c r="P57" s="4" t="s">
        <v>292</v>
      </c>
      <c r="Q57" s="5">
        <v>20240125</v>
      </c>
      <c r="R57" s="5" t="s">
        <v>17</v>
      </c>
      <c r="S57" s="5" t="s">
        <v>17</v>
      </c>
      <c r="T57" s="5">
        <v>2022</v>
      </c>
    </row>
    <row r="58" spans="1:20" ht="378.9" x14ac:dyDescent="0.4">
      <c r="A58" s="4" t="s">
        <v>293</v>
      </c>
      <c r="B58" s="5" t="s">
        <v>16</v>
      </c>
      <c r="C58" s="5" t="s">
        <v>17</v>
      </c>
      <c r="D58" s="5" t="s">
        <v>18</v>
      </c>
      <c r="E58" s="6">
        <v>44741</v>
      </c>
      <c r="F58" s="6">
        <v>44784</v>
      </c>
      <c r="G58" s="5" t="s">
        <v>19</v>
      </c>
      <c r="H58" s="4" t="s">
        <v>294</v>
      </c>
      <c r="I58" s="4" t="s">
        <v>295</v>
      </c>
      <c r="J58" s="4" t="s">
        <v>296</v>
      </c>
      <c r="K58" s="8"/>
      <c r="L58" s="8"/>
      <c r="M58" s="8"/>
      <c r="N58" s="8"/>
      <c r="O58" s="8"/>
      <c r="P58" s="4" t="s">
        <v>297</v>
      </c>
      <c r="Q58" s="5">
        <v>20240125</v>
      </c>
      <c r="R58" s="5" t="s">
        <v>17</v>
      </c>
      <c r="S58" s="5" t="s">
        <v>17</v>
      </c>
      <c r="T58" s="5">
        <v>2022</v>
      </c>
    </row>
    <row r="59" spans="1:20" ht="409.6" x14ac:dyDescent="0.4">
      <c r="A59" s="4" t="s">
        <v>298</v>
      </c>
      <c r="B59" s="5" t="s">
        <v>16</v>
      </c>
      <c r="C59" s="5" t="s">
        <v>17</v>
      </c>
      <c r="D59" s="5" t="s">
        <v>18</v>
      </c>
      <c r="E59" s="6">
        <v>44744</v>
      </c>
      <c r="F59" s="6">
        <v>44777</v>
      </c>
      <c r="G59" s="5" t="s">
        <v>19</v>
      </c>
      <c r="H59" s="4" t="s">
        <v>299</v>
      </c>
      <c r="I59" s="4" t="s">
        <v>300</v>
      </c>
      <c r="J59" s="4" t="s">
        <v>301</v>
      </c>
      <c r="K59" s="8"/>
      <c r="L59" s="8"/>
      <c r="M59" s="8"/>
      <c r="N59" s="8"/>
      <c r="O59" s="8"/>
      <c r="P59" s="4" t="s">
        <v>302</v>
      </c>
      <c r="Q59" s="5">
        <v>20240125</v>
      </c>
      <c r="R59" s="5" t="s">
        <v>17</v>
      </c>
      <c r="S59" s="5" t="s">
        <v>17</v>
      </c>
      <c r="T59" s="5">
        <v>2022</v>
      </c>
    </row>
    <row r="60" spans="1:20" ht="247.75" x14ac:dyDescent="0.4">
      <c r="A60" s="4" t="s">
        <v>303</v>
      </c>
      <c r="B60" s="5" t="s">
        <v>16</v>
      </c>
      <c r="C60" s="5" t="s">
        <v>304</v>
      </c>
      <c r="D60" s="5" t="s">
        <v>18</v>
      </c>
      <c r="E60" s="6">
        <v>44763</v>
      </c>
      <c r="F60" s="6">
        <v>44795</v>
      </c>
      <c r="G60" s="5" t="s">
        <v>19</v>
      </c>
      <c r="H60" s="4" t="s">
        <v>305</v>
      </c>
      <c r="I60" s="5" t="s">
        <v>306</v>
      </c>
      <c r="J60" s="4" t="s">
        <v>306</v>
      </c>
      <c r="K60" s="9"/>
      <c r="L60" s="9"/>
      <c r="M60" s="9"/>
      <c r="N60" s="9"/>
      <c r="O60" s="9"/>
      <c r="P60" s="4" t="s">
        <v>307</v>
      </c>
      <c r="Q60" s="5">
        <v>20240126</v>
      </c>
      <c r="R60" s="5" t="s">
        <v>17</v>
      </c>
      <c r="S60" s="5" t="s">
        <v>17</v>
      </c>
      <c r="T60" s="5">
        <v>2022</v>
      </c>
    </row>
    <row r="61" spans="1:20" ht="409.6" x14ac:dyDescent="0.4">
      <c r="A61" s="4" t="s">
        <v>308</v>
      </c>
      <c r="B61" s="5" t="s">
        <v>16</v>
      </c>
      <c r="C61" s="5" t="s">
        <v>17</v>
      </c>
      <c r="D61" s="5" t="s">
        <v>18</v>
      </c>
      <c r="E61" s="6">
        <v>44780</v>
      </c>
      <c r="F61" s="6">
        <v>44811</v>
      </c>
      <c r="G61" s="5" t="s">
        <v>19</v>
      </c>
      <c r="H61" s="4" t="s">
        <v>309</v>
      </c>
      <c r="I61" s="4" t="s">
        <v>310</v>
      </c>
      <c r="J61" s="4" t="s">
        <v>311</v>
      </c>
      <c r="K61" s="8"/>
      <c r="L61" s="8"/>
      <c r="M61" s="8"/>
      <c r="N61" s="8"/>
      <c r="O61" s="8"/>
      <c r="P61" s="4" t="s">
        <v>312</v>
      </c>
      <c r="Q61" s="5">
        <v>20240126</v>
      </c>
      <c r="R61" s="5" t="s">
        <v>17</v>
      </c>
      <c r="S61" s="5" t="s">
        <v>17</v>
      </c>
      <c r="T61" s="5">
        <v>2022</v>
      </c>
    </row>
    <row r="62" spans="1:20" ht="409.6" x14ac:dyDescent="0.4">
      <c r="A62" s="4" t="s">
        <v>313</v>
      </c>
      <c r="B62" s="5" t="s">
        <v>16</v>
      </c>
      <c r="C62" s="5" t="s">
        <v>17</v>
      </c>
      <c r="D62" s="5" t="s">
        <v>18</v>
      </c>
      <c r="E62" s="6">
        <v>44789</v>
      </c>
      <c r="F62" s="6">
        <v>44832</v>
      </c>
      <c r="G62" s="5" t="s">
        <v>19</v>
      </c>
      <c r="H62" s="4" t="s">
        <v>314</v>
      </c>
      <c r="I62" s="4" t="s">
        <v>315</v>
      </c>
      <c r="J62" s="4" t="s">
        <v>316</v>
      </c>
      <c r="K62" s="9"/>
      <c r="L62" s="9"/>
      <c r="M62" s="9"/>
      <c r="N62" s="9"/>
      <c r="O62" s="9"/>
      <c r="P62" s="4" t="s">
        <v>317</v>
      </c>
      <c r="Q62" s="5">
        <v>20240126</v>
      </c>
      <c r="R62" s="5" t="s">
        <v>17</v>
      </c>
      <c r="S62" s="5" t="s">
        <v>17</v>
      </c>
      <c r="T62" s="5">
        <v>2022</v>
      </c>
    </row>
    <row r="63" spans="1:20" ht="409.6" x14ac:dyDescent="0.4">
      <c r="A63" s="4" t="s">
        <v>318</v>
      </c>
      <c r="B63" s="5" t="s">
        <v>16</v>
      </c>
      <c r="C63" s="5" t="s">
        <v>17</v>
      </c>
      <c r="D63" s="5" t="s">
        <v>18</v>
      </c>
      <c r="E63" s="6">
        <v>44793</v>
      </c>
      <c r="F63" s="6">
        <v>44805</v>
      </c>
      <c r="G63" s="5" t="s">
        <v>19</v>
      </c>
      <c r="H63" s="4" t="s">
        <v>319</v>
      </c>
      <c r="I63" s="4" t="s">
        <v>320</v>
      </c>
      <c r="J63" s="4" t="s">
        <v>321</v>
      </c>
      <c r="K63" s="8"/>
      <c r="L63" s="8"/>
      <c r="M63" s="8"/>
      <c r="N63" s="8"/>
      <c r="O63" s="8"/>
      <c r="P63" s="4" t="s">
        <v>322</v>
      </c>
      <c r="Q63" s="5">
        <v>20240126</v>
      </c>
      <c r="R63" s="5" t="s">
        <v>17</v>
      </c>
      <c r="S63" s="5" t="s">
        <v>17</v>
      </c>
      <c r="T63" s="5">
        <v>2022</v>
      </c>
    </row>
    <row r="64" spans="1:20" ht="247.75" x14ac:dyDescent="0.4">
      <c r="A64" s="4" t="s">
        <v>323</v>
      </c>
      <c r="B64" s="5" t="s">
        <v>16</v>
      </c>
      <c r="C64" s="5" t="s">
        <v>17</v>
      </c>
      <c r="D64" s="5" t="s">
        <v>18</v>
      </c>
      <c r="E64" s="6">
        <v>44802</v>
      </c>
      <c r="F64" s="6">
        <v>44810</v>
      </c>
      <c r="G64" s="5" t="s">
        <v>19</v>
      </c>
      <c r="H64" s="4" t="s">
        <v>324</v>
      </c>
      <c r="I64" s="4" t="s">
        <v>325</v>
      </c>
      <c r="J64" s="4" t="s">
        <v>326</v>
      </c>
      <c r="K64" s="8"/>
      <c r="L64" s="8"/>
      <c r="M64" s="8"/>
      <c r="N64" s="8"/>
      <c r="O64" s="8"/>
      <c r="P64" s="4" t="s">
        <v>327</v>
      </c>
      <c r="Q64" s="5">
        <v>20240126</v>
      </c>
      <c r="R64" s="5" t="s">
        <v>17</v>
      </c>
      <c r="S64" s="5" t="s">
        <v>17</v>
      </c>
      <c r="T64" s="5">
        <v>2022</v>
      </c>
    </row>
    <row r="65" spans="1:20" ht="306" x14ac:dyDescent="0.4">
      <c r="A65" s="4" t="s">
        <v>328</v>
      </c>
      <c r="B65" s="5" t="s">
        <v>16</v>
      </c>
      <c r="C65" s="5" t="s">
        <v>17</v>
      </c>
      <c r="D65" s="5" t="s">
        <v>18</v>
      </c>
      <c r="E65" s="6">
        <v>44802</v>
      </c>
      <c r="F65" s="6">
        <v>44832</v>
      </c>
      <c r="G65" s="5" t="s">
        <v>19</v>
      </c>
      <c r="H65" s="4" t="s">
        <v>329</v>
      </c>
      <c r="I65" s="4" t="s">
        <v>330</v>
      </c>
      <c r="J65" s="4" t="s">
        <v>331</v>
      </c>
      <c r="K65" s="8"/>
      <c r="L65" s="8"/>
      <c r="M65" s="8"/>
      <c r="N65" s="8"/>
      <c r="O65" s="8"/>
      <c r="P65" s="4" t="s">
        <v>332</v>
      </c>
      <c r="Q65" s="5">
        <v>20240126</v>
      </c>
      <c r="R65" s="5" t="s">
        <v>17</v>
      </c>
      <c r="S65" s="5" t="s">
        <v>17</v>
      </c>
      <c r="T65" s="5">
        <v>2022</v>
      </c>
    </row>
    <row r="66" spans="1:20" ht="409.6" x14ac:dyDescent="0.4">
      <c r="A66" s="4" t="s">
        <v>333</v>
      </c>
      <c r="B66" s="5" t="s">
        <v>16</v>
      </c>
      <c r="C66" s="5" t="s">
        <v>17</v>
      </c>
      <c r="D66" s="5" t="s">
        <v>18</v>
      </c>
      <c r="E66" s="6">
        <v>44808</v>
      </c>
      <c r="F66" s="6">
        <v>44853</v>
      </c>
      <c r="G66" s="5" t="s">
        <v>19</v>
      </c>
      <c r="H66" s="4" t="s">
        <v>334</v>
      </c>
      <c r="I66" s="4" t="s">
        <v>335</v>
      </c>
      <c r="J66" s="4" t="s">
        <v>336</v>
      </c>
      <c r="K66" s="9"/>
      <c r="L66" s="9"/>
      <c r="M66" s="9"/>
      <c r="N66" s="9"/>
      <c r="O66" s="9"/>
      <c r="P66" s="4" t="s">
        <v>337</v>
      </c>
      <c r="Q66" s="5">
        <v>20240126</v>
      </c>
      <c r="R66" s="5" t="s">
        <v>17</v>
      </c>
      <c r="S66" s="5" t="s">
        <v>17</v>
      </c>
      <c r="T66" s="5">
        <v>2022</v>
      </c>
    </row>
    <row r="67" spans="1:20" ht="409.6" x14ac:dyDescent="0.4">
      <c r="A67" s="4" t="s">
        <v>338</v>
      </c>
      <c r="B67" s="5" t="s">
        <v>16</v>
      </c>
      <c r="C67" s="5" t="s">
        <v>17</v>
      </c>
      <c r="D67" s="5" t="s">
        <v>18</v>
      </c>
      <c r="E67" s="6">
        <v>44837</v>
      </c>
      <c r="F67" s="6">
        <v>44871</v>
      </c>
      <c r="G67" s="5" t="s">
        <v>19</v>
      </c>
      <c r="H67" s="4" t="s">
        <v>339</v>
      </c>
      <c r="I67" s="4" t="s">
        <v>340</v>
      </c>
      <c r="J67" s="4" t="s">
        <v>341</v>
      </c>
      <c r="K67" s="8"/>
      <c r="L67" s="8"/>
      <c r="M67" s="8"/>
      <c r="N67" s="8"/>
      <c r="O67" s="8"/>
      <c r="P67" s="4" t="s">
        <v>342</v>
      </c>
      <c r="Q67" s="5">
        <v>20240126</v>
      </c>
      <c r="R67" s="5" t="s">
        <v>17</v>
      </c>
      <c r="S67" s="5" t="s">
        <v>17</v>
      </c>
      <c r="T67" s="5">
        <v>2022</v>
      </c>
    </row>
    <row r="68" spans="1:20" ht="409.6" x14ac:dyDescent="0.4">
      <c r="A68" s="4" t="s">
        <v>343</v>
      </c>
      <c r="B68" s="5" t="s">
        <v>16</v>
      </c>
      <c r="C68" s="5" t="s">
        <v>17</v>
      </c>
      <c r="D68" s="5" t="s">
        <v>18</v>
      </c>
      <c r="E68" s="6">
        <v>44853</v>
      </c>
      <c r="F68" s="6">
        <v>44902</v>
      </c>
      <c r="G68" s="5" t="s">
        <v>19</v>
      </c>
      <c r="H68" s="4" t="s">
        <v>344</v>
      </c>
      <c r="I68" s="4" t="s">
        <v>345</v>
      </c>
      <c r="J68" s="4" t="s">
        <v>346</v>
      </c>
      <c r="K68" s="9"/>
      <c r="L68" s="9"/>
      <c r="M68" s="9"/>
      <c r="N68" s="9"/>
      <c r="O68" s="9"/>
      <c r="P68" s="4" t="s">
        <v>347</v>
      </c>
      <c r="Q68" s="5">
        <v>20240126</v>
      </c>
      <c r="R68" s="5" t="s">
        <v>17</v>
      </c>
      <c r="S68" s="5" t="s">
        <v>17</v>
      </c>
      <c r="T68" s="5">
        <v>2022</v>
      </c>
    </row>
    <row r="69" spans="1:20" ht="378.9" x14ac:dyDescent="0.4">
      <c r="A69" s="4" t="s">
        <v>348</v>
      </c>
      <c r="B69" s="5" t="s">
        <v>16</v>
      </c>
      <c r="C69" s="5" t="s">
        <v>17</v>
      </c>
      <c r="D69" s="5" t="s">
        <v>18</v>
      </c>
      <c r="E69" s="6">
        <v>44852</v>
      </c>
      <c r="F69" s="6">
        <v>44855</v>
      </c>
      <c r="G69" s="5" t="s">
        <v>19</v>
      </c>
      <c r="H69" s="4" t="s">
        <v>349</v>
      </c>
      <c r="I69" s="5" t="s">
        <v>350</v>
      </c>
      <c r="J69" s="4" t="s">
        <v>351</v>
      </c>
      <c r="K69" s="9"/>
      <c r="L69" s="9"/>
      <c r="M69" s="9"/>
      <c r="N69" s="9"/>
      <c r="O69" s="9"/>
      <c r="P69" s="4" t="s">
        <v>352</v>
      </c>
      <c r="Q69" s="5">
        <v>20240126</v>
      </c>
      <c r="R69" s="5" t="s">
        <v>17</v>
      </c>
      <c r="S69" s="5" t="s">
        <v>17</v>
      </c>
      <c r="T69" s="5">
        <v>2022</v>
      </c>
    </row>
    <row r="70" spans="1:20" ht="262.3" x14ac:dyDescent="0.4">
      <c r="A70" s="4" t="s">
        <v>353</v>
      </c>
      <c r="B70" s="5" t="s">
        <v>16</v>
      </c>
      <c r="C70" s="5" t="s">
        <v>17</v>
      </c>
      <c r="D70" s="5" t="s">
        <v>18</v>
      </c>
      <c r="E70" s="6">
        <v>44866</v>
      </c>
      <c r="F70" s="6">
        <v>44922</v>
      </c>
      <c r="G70" s="5" t="s">
        <v>19</v>
      </c>
      <c r="H70" s="4" t="s">
        <v>354</v>
      </c>
      <c r="I70" s="4" t="s">
        <v>355</v>
      </c>
      <c r="J70" s="4" t="s">
        <v>356</v>
      </c>
      <c r="K70" s="8"/>
      <c r="L70" s="8"/>
      <c r="M70" s="8"/>
      <c r="N70" s="8"/>
      <c r="O70" s="8"/>
      <c r="P70" s="4" t="s">
        <v>357</v>
      </c>
      <c r="Q70" s="5">
        <v>20240126</v>
      </c>
      <c r="R70" s="5" t="s">
        <v>17</v>
      </c>
      <c r="S70" s="5" t="s">
        <v>17</v>
      </c>
      <c r="T70" s="5">
        <v>2022</v>
      </c>
    </row>
    <row r="71" spans="1:20" ht="409.6" x14ac:dyDescent="0.4">
      <c r="A71" s="4" t="s">
        <v>358</v>
      </c>
      <c r="B71" s="5" t="s">
        <v>16</v>
      </c>
      <c r="C71" s="5" t="s">
        <v>17</v>
      </c>
      <c r="D71" s="5" t="s">
        <v>18</v>
      </c>
      <c r="E71" s="6">
        <v>44872</v>
      </c>
      <c r="F71" s="6">
        <v>44910</v>
      </c>
      <c r="G71" s="5" t="s">
        <v>19</v>
      </c>
      <c r="H71" s="4" t="e">
        <f ca="1">- 출산 장려 정책의 문제
- 현재 국가 지원으로는 자녀 양육의 문제가 많이 발생함
- 다자녀 경우 출산 장려금이 자녀 양육에 적정하게 도입되지 못하는 점(경제적 문제)
- 자녀양육에 대한 지식 부족
- 유아용품들의 높은 가격대
- 영유아, 어린이집 활성화 부분 저조</f>
        <v>#NAME?</v>
      </c>
      <c r="I71" s="4" t="s">
        <v>359</v>
      </c>
      <c r="J71" s="4" t="s">
        <v>360</v>
      </c>
      <c r="K71" s="8"/>
      <c r="L71" s="8"/>
      <c r="M71" s="8"/>
      <c r="N71" s="8"/>
      <c r="O71" s="8"/>
      <c r="P71" s="4" t="s">
        <v>361</v>
      </c>
      <c r="Q71" s="5">
        <v>20240126</v>
      </c>
      <c r="R71" s="5" t="s">
        <v>17</v>
      </c>
      <c r="S71" s="5" t="s">
        <v>17</v>
      </c>
      <c r="T71" s="5">
        <v>2022</v>
      </c>
    </row>
    <row r="72" spans="1:20" ht="378.9" x14ac:dyDescent="0.4">
      <c r="A72" s="4" t="s">
        <v>362</v>
      </c>
      <c r="B72" s="5" t="s">
        <v>16</v>
      </c>
      <c r="C72" s="5" t="s">
        <v>17</v>
      </c>
      <c r="D72" s="5" t="s">
        <v>18</v>
      </c>
      <c r="E72" s="6">
        <v>44916</v>
      </c>
      <c r="F72" s="6">
        <v>44946</v>
      </c>
      <c r="G72" s="5" t="s">
        <v>19</v>
      </c>
      <c r="H72" s="4" t="s">
        <v>363</v>
      </c>
      <c r="I72" s="4" t="s">
        <v>364</v>
      </c>
      <c r="J72" s="4" t="s">
        <v>365</v>
      </c>
      <c r="K72" s="8"/>
      <c r="L72" s="8"/>
      <c r="M72" s="8"/>
      <c r="N72" s="8"/>
      <c r="O72" s="8"/>
      <c r="P72" s="4" t="s">
        <v>366</v>
      </c>
      <c r="Q72" s="5">
        <v>20240126</v>
      </c>
      <c r="R72" s="5" t="s">
        <v>17</v>
      </c>
      <c r="S72" s="5" t="s">
        <v>17</v>
      </c>
      <c r="T72" s="5">
        <v>2022</v>
      </c>
    </row>
    <row r="73" spans="1:20" ht="233.15" x14ac:dyDescent="0.4">
      <c r="A73" s="4" t="s">
        <v>367</v>
      </c>
      <c r="B73" s="5" t="s">
        <v>16</v>
      </c>
      <c r="C73" s="5" t="s">
        <v>17</v>
      </c>
      <c r="D73" s="5" t="s">
        <v>18</v>
      </c>
      <c r="E73" s="6">
        <v>44924</v>
      </c>
      <c r="F73" s="6">
        <v>44964</v>
      </c>
      <c r="G73" s="5" t="s">
        <v>19</v>
      </c>
      <c r="H73" s="4" t="s">
        <v>368</v>
      </c>
      <c r="I73" s="4" t="s">
        <v>369</v>
      </c>
      <c r="J73" s="4" t="s">
        <v>370</v>
      </c>
      <c r="K73" s="8"/>
      <c r="L73" s="8"/>
      <c r="M73" s="8"/>
      <c r="N73" s="8"/>
      <c r="O73" s="8"/>
      <c r="P73" s="4" t="s">
        <v>371</v>
      </c>
      <c r="Q73" s="5">
        <v>20240126</v>
      </c>
      <c r="R73" s="5" t="s">
        <v>17</v>
      </c>
      <c r="S73" s="5" t="s">
        <v>17</v>
      </c>
      <c r="T73" s="5">
        <v>2022</v>
      </c>
    </row>
    <row r="74" spans="1:20" ht="409.6" x14ac:dyDescent="0.4">
      <c r="A74" s="4" t="s">
        <v>372</v>
      </c>
      <c r="B74" s="5" t="s">
        <v>16</v>
      </c>
      <c r="C74" s="5" t="s">
        <v>17</v>
      </c>
      <c r="D74" s="5" t="s">
        <v>18</v>
      </c>
      <c r="E74" s="6">
        <v>44924</v>
      </c>
      <c r="F74" s="6">
        <v>44963</v>
      </c>
      <c r="G74" s="5" t="s">
        <v>19</v>
      </c>
      <c r="H74" s="4" t="s">
        <v>373</v>
      </c>
      <c r="I74" s="5" t="s">
        <v>374</v>
      </c>
      <c r="J74" s="4" t="s">
        <v>375</v>
      </c>
      <c r="K74" s="9"/>
      <c r="L74" s="9"/>
      <c r="M74" s="9"/>
      <c r="N74" s="9"/>
      <c r="O74" s="9"/>
      <c r="P74" s="4" t="s">
        <v>376</v>
      </c>
      <c r="Q74" s="5">
        <v>20240126</v>
      </c>
      <c r="R74" s="5" t="s">
        <v>17</v>
      </c>
      <c r="S74" s="5" t="s">
        <v>17</v>
      </c>
      <c r="T74" s="5">
        <v>2022</v>
      </c>
    </row>
    <row r="75" spans="1:20" ht="409.6" x14ac:dyDescent="0.4">
      <c r="A75" s="4" t="s">
        <v>377</v>
      </c>
      <c r="B75" s="5" t="s">
        <v>16</v>
      </c>
      <c r="C75" s="5" t="s">
        <v>17</v>
      </c>
      <c r="D75" s="5" t="s">
        <v>18</v>
      </c>
      <c r="E75" s="6">
        <v>44931</v>
      </c>
      <c r="F75" s="6">
        <v>44965</v>
      </c>
      <c r="G75" s="5" t="s">
        <v>19</v>
      </c>
      <c r="H75" s="4" t="s">
        <v>378</v>
      </c>
      <c r="I75" s="4" t="s">
        <v>378</v>
      </c>
      <c r="J75" s="4" t="s">
        <v>378</v>
      </c>
      <c r="K75" s="8"/>
      <c r="L75" s="8"/>
      <c r="M75" s="8"/>
      <c r="N75" s="8"/>
      <c r="O75" s="8"/>
      <c r="P75" s="4" t="s">
        <v>379</v>
      </c>
      <c r="Q75" s="5">
        <v>20240125</v>
      </c>
      <c r="R75" s="5" t="s">
        <v>17</v>
      </c>
      <c r="S75" s="5" t="s">
        <v>17</v>
      </c>
      <c r="T75" s="5">
        <v>2023</v>
      </c>
    </row>
    <row r="76" spans="1:20" ht="409.6" x14ac:dyDescent="0.4">
      <c r="A76" s="4" t="s">
        <v>380</v>
      </c>
      <c r="B76" s="5" t="s">
        <v>16</v>
      </c>
      <c r="C76" s="5" t="s">
        <v>17</v>
      </c>
      <c r="D76" s="5" t="s">
        <v>18</v>
      </c>
      <c r="E76" s="6">
        <v>44934</v>
      </c>
      <c r="F76" s="6">
        <v>44965</v>
      </c>
      <c r="G76" s="5" t="s">
        <v>19</v>
      </c>
      <c r="H76" s="4" t="s">
        <v>381</v>
      </c>
      <c r="I76" s="4" t="s">
        <v>382</v>
      </c>
      <c r="J76" s="4" t="s">
        <v>383</v>
      </c>
      <c r="K76" s="9"/>
      <c r="L76" s="9"/>
      <c r="M76" s="9"/>
      <c r="N76" s="9"/>
      <c r="O76" s="9"/>
      <c r="P76" s="4" t="s">
        <v>384</v>
      </c>
      <c r="Q76" s="5">
        <v>20240125</v>
      </c>
      <c r="R76" s="5" t="s">
        <v>17</v>
      </c>
      <c r="S76" s="5" t="s">
        <v>17</v>
      </c>
      <c r="T76" s="5">
        <v>2023</v>
      </c>
    </row>
    <row r="77" spans="1:20" ht="409.6" x14ac:dyDescent="0.4">
      <c r="A77" s="4" t="s">
        <v>385</v>
      </c>
      <c r="B77" s="5" t="s">
        <v>16</v>
      </c>
      <c r="C77" s="5" t="s">
        <v>17</v>
      </c>
      <c r="D77" s="5" t="s">
        <v>18</v>
      </c>
      <c r="E77" s="6">
        <v>44946</v>
      </c>
      <c r="F77" s="6">
        <v>44981</v>
      </c>
      <c r="G77" s="5" t="s">
        <v>19</v>
      </c>
      <c r="H77" s="4" t="s">
        <v>386</v>
      </c>
      <c r="I77" s="4" t="s">
        <v>387</v>
      </c>
      <c r="J77" s="4" t="s">
        <v>388</v>
      </c>
      <c r="K77" s="8"/>
      <c r="L77" s="8"/>
      <c r="M77" s="8"/>
      <c r="N77" s="8"/>
      <c r="O77" s="8"/>
      <c r="P77" s="4" t="s">
        <v>389</v>
      </c>
      <c r="Q77" s="5">
        <v>20240125</v>
      </c>
      <c r="R77" s="5" t="s">
        <v>17</v>
      </c>
      <c r="S77" s="5" t="s">
        <v>17</v>
      </c>
      <c r="T77" s="5">
        <v>2023</v>
      </c>
    </row>
    <row r="78" spans="1:20" ht="291.45" x14ac:dyDescent="0.4">
      <c r="A78" s="4" t="s">
        <v>390</v>
      </c>
      <c r="B78" s="5" t="s">
        <v>16</v>
      </c>
      <c r="C78" s="5" t="s">
        <v>17</v>
      </c>
      <c r="D78" s="5" t="s">
        <v>18</v>
      </c>
      <c r="E78" s="6">
        <v>44942</v>
      </c>
      <c r="F78" s="6">
        <v>44978</v>
      </c>
      <c r="G78" s="5" t="s">
        <v>19</v>
      </c>
      <c r="H78" s="4" t="s">
        <v>391</v>
      </c>
      <c r="I78" s="4" t="s">
        <v>392</v>
      </c>
      <c r="J78" s="4" t="s">
        <v>393</v>
      </c>
      <c r="K78" s="9"/>
      <c r="L78" s="9"/>
      <c r="M78" s="9"/>
      <c r="N78" s="9"/>
      <c r="O78" s="9"/>
      <c r="P78" s="4" t="s">
        <v>394</v>
      </c>
      <c r="Q78" s="5">
        <v>20240125</v>
      </c>
      <c r="R78" s="5" t="s">
        <v>17</v>
      </c>
      <c r="S78" s="5" t="s">
        <v>17</v>
      </c>
      <c r="T78" s="5">
        <v>2023</v>
      </c>
    </row>
    <row r="79" spans="1:20" ht="409.6" x14ac:dyDescent="0.4">
      <c r="A79" s="4" t="s">
        <v>395</v>
      </c>
      <c r="B79" s="5" t="s">
        <v>16</v>
      </c>
      <c r="C79" s="5" t="s">
        <v>17</v>
      </c>
      <c r="D79" s="5" t="s">
        <v>18</v>
      </c>
      <c r="E79" s="6">
        <v>44942</v>
      </c>
      <c r="F79" s="6">
        <v>44973</v>
      </c>
      <c r="G79" s="5" t="s">
        <v>19</v>
      </c>
      <c r="H79" s="4" t="s">
        <v>396</v>
      </c>
      <c r="I79" s="4" t="s">
        <v>397</v>
      </c>
      <c r="J79" s="4" t="s">
        <v>398</v>
      </c>
      <c r="K79" s="8"/>
      <c r="L79" s="8"/>
      <c r="M79" s="8"/>
      <c r="N79" s="8"/>
      <c r="O79" s="8"/>
      <c r="P79" s="4" t="s">
        <v>399</v>
      </c>
      <c r="Q79" s="5">
        <v>20240125</v>
      </c>
      <c r="R79" s="5" t="s">
        <v>17</v>
      </c>
      <c r="S79" s="5" t="s">
        <v>17</v>
      </c>
      <c r="T79" s="5">
        <v>2023</v>
      </c>
    </row>
    <row r="80" spans="1:20" ht="409.6" x14ac:dyDescent="0.4">
      <c r="A80" s="4" t="s">
        <v>400</v>
      </c>
      <c r="B80" s="5" t="s">
        <v>16</v>
      </c>
      <c r="C80" s="5" t="s">
        <v>17</v>
      </c>
      <c r="D80" s="5" t="s">
        <v>18</v>
      </c>
      <c r="E80" s="6">
        <v>44941</v>
      </c>
      <c r="F80" s="6">
        <v>44974</v>
      </c>
      <c r="G80" s="5" t="s">
        <v>19</v>
      </c>
      <c r="H80" s="4" t="s">
        <v>401</v>
      </c>
      <c r="I80" s="4" t="s">
        <v>402</v>
      </c>
      <c r="J80" s="4" t="s">
        <v>403</v>
      </c>
      <c r="K80" s="8"/>
      <c r="L80" s="8"/>
      <c r="M80" s="8"/>
      <c r="N80" s="8"/>
      <c r="O80" s="8"/>
      <c r="P80" s="4" t="s">
        <v>404</v>
      </c>
      <c r="Q80" s="5">
        <v>20240125</v>
      </c>
      <c r="R80" s="5" t="s">
        <v>17</v>
      </c>
      <c r="S80" s="5" t="s">
        <v>17</v>
      </c>
      <c r="T80" s="5">
        <v>2023</v>
      </c>
    </row>
    <row r="81" spans="1:20" ht="349.75" x14ac:dyDescent="0.4">
      <c r="A81" s="4" t="s">
        <v>405</v>
      </c>
      <c r="B81" s="5" t="s">
        <v>16</v>
      </c>
      <c r="C81" s="5" t="s">
        <v>17</v>
      </c>
      <c r="D81" s="5" t="s">
        <v>18</v>
      </c>
      <c r="E81" s="6">
        <v>44951</v>
      </c>
      <c r="F81" s="6">
        <v>44987</v>
      </c>
      <c r="G81" s="5" t="s">
        <v>19</v>
      </c>
      <c r="H81" s="4" t="s">
        <v>406</v>
      </c>
      <c r="I81" s="4" t="s">
        <v>407</v>
      </c>
      <c r="J81" s="4" t="s">
        <v>408</v>
      </c>
      <c r="K81" s="9"/>
      <c r="L81" s="9"/>
      <c r="M81" s="9"/>
      <c r="N81" s="9"/>
      <c r="O81" s="9"/>
      <c r="P81" s="4" t="s">
        <v>409</v>
      </c>
      <c r="Q81" s="5">
        <v>20240125</v>
      </c>
      <c r="R81" s="5" t="s">
        <v>17</v>
      </c>
      <c r="S81" s="5" t="s">
        <v>17</v>
      </c>
      <c r="T81" s="5">
        <v>2023</v>
      </c>
    </row>
    <row r="82" spans="1:20" ht="349.75" x14ac:dyDescent="0.4">
      <c r="A82" s="4" t="s">
        <v>410</v>
      </c>
      <c r="B82" s="5" t="s">
        <v>16</v>
      </c>
      <c r="C82" s="5" t="s">
        <v>17</v>
      </c>
      <c r="D82" s="5" t="s">
        <v>18</v>
      </c>
      <c r="E82" s="6">
        <v>44949</v>
      </c>
      <c r="F82" s="6">
        <v>44984</v>
      </c>
      <c r="G82" s="5" t="s">
        <v>19</v>
      </c>
      <c r="H82" s="4" t="s">
        <v>411</v>
      </c>
      <c r="I82" s="4" t="s">
        <v>412</v>
      </c>
      <c r="J82" s="4" t="s">
        <v>413</v>
      </c>
      <c r="K82" s="8"/>
      <c r="L82" s="8"/>
      <c r="M82" s="8"/>
      <c r="N82" s="8"/>
      <c r="O82" s="8"/>
      <c r="P82" s="4" t="s">
        <v>414</v>
      </c>
      <c r="Q82" s="5">
        <v>20240125</v>
      </c>
      <c r="R82" s="5" t="s">
        <v>17</v>
      </c>
      <c r="S82" s="5" t="s">
        <v>17</v>
      </c>
      <c r="T82" s="5">
        <v>2023</v>
      </c>
    </row>
    <row r="83" spans="1:20" ht="378.9" x14ac:dyDescent="0.4">
      <c r="A83" s="4" t="s">
        <v>415</v>
      </c>
      <c r="B83" s="5" t="s">
        <v>16</v>
      </c>
      <c r="C83" s="5" t="s">
        <v>17</v>
      </c>
      <c r="D83" s="5" t="s">
        <v>18</v>
      </c>
      <c r="E83" s="6">
        <v>44963</v>
      </c>
      <c r="F83" s="6">
        <v>44973</v>
      </c>
      <c r="G83" s="5" t="s">
        <v>19</v>
      </c>
      <c r="H83" s="4" t="s">
        <v>416</v>
      </c>
      <c r="I83" s="4" t="s">
        <v>417</v>
      </c>
      <c r="J83" s="4" t="s">
        <v>418</v>
      </c>
      <c r="K83" s="9"/>
      <c r="L83" s="9"/>
      <c r="M83" s="9"/>
      <c r="N83" s="9"/>
      <c r="O83" s="9"/>
      <c r="P83" s="4" t="s">
        <v>419</v>
      </c>
      <c r="Q83" s="5">
        <v>20240125</v>
      </c>
      <c r="R83" s="5" t="s">
        <v>17</v>
      </c>
      <c r="S83" s="5" t="s">
        <v>17</v>
      </c>
      <c r="T83" s="5">
        <v>2023</v>
      </c>
    </row>
    <row r="84" spans="1:20" ht="409.6" x14ac:dyDescent="0.4">
      <c r="A84" s="4" t="s">
        <v>420</v>
      </c>
      <c r="B84" s="5" t="s">
        <v>16</v>
      </c>
      <c r="C84" s="5" t="s">
        <v>17</v>
      </c>
      <c r="D84" s="5" t="s">
        <v>18</v>
      </c>
      <c r="E84" s="6">
        <v>44981</v>
      </c>
      <c r="F84" s="6">
        <v>45012</v>
      </c>
      <c r="G84" s="5" t="s">
        <v>19</v>
      </c>
      <c r="H84" s="4" t="s">
        <v>421</v>
      </c>
      <c r="I84" s="4" t="s">
        <v>422</v>
      </c>
      <c r="J84" s="4" t="s">
        <v>423</v>
      </c>
      <c r="K84" s="9"/>
      <c r="L84" s="9"/>
      <c r="M84" s="9"/>
      <c r="N84" s="9"/>
      <c r="O84" s="9"/>
      <c r="P84" s="4" t="s">
        <v>424</v>
      </c>
      <c r="Q84" s="5">
        <v>20240125</v>
      </c>
      <c r="R84" s="5" t="s">
        <v>17</v>
      </c>
      <c r="S84" s="5" t="s">
        <v>17</v>
      </c>
      <c r="T84" s="5">
        <v>2023</v>
      </c>
    </row>
    <row r="85" spans="1:20" ht="409.6" x14ac:dyDescent="0.4">
      <c r="A85" s="4" t="s">
        <v>425</v>
      </c>
      <c r="B85" s="5" t="s">
        <v>16</v>
      </c>
      <c r="C85" s="5" t="s">
        <v>17</v>
      </c>
      <c r="D85" s="5" t="s">
        <v>18</v>
      </c>
      <c r="E85" s="6">
        <v>44980</v>
      </c>
      <c r="F85" s="6">
        <v>45021</v>
      </c>
      <c r="G85" s="5" t="s">
        <v>19</v>
      </c>
      <c r="H85" s="4" t="s">
        <v>426</v>
      </c>
      <c r="I85" s="4" t="s">
        <v>427</v>
      </c>
      <c r="J85" s="4" t="s">
        <v>428</v>
      </c>
      <c r="K85" s="8"/>
      <c r="L85" s="8"/>
      <c r="M85" s="8"/>
      <c r="N85" s="8"/>
      <c r="O85" s="8"/>
      <c r="P85" s="4" t="s">
        <v>429</v>
      </c>
      <c r="Q85" s="5">
        <v>20240125</v>
      </c>
      <c r="R85" s="5" t="s">
        <v>17</v>
      </c>
      <c r="S85" s="5" t="s">
        <v>17</v>
      </c>
      <c r="T85" s="5">
        <v>2023</v>
      </c>
    </row>
    <row r="86" spans="1:20" ht="247.75" x14ac:dyDescent="0.4">
      <c r="A86" s="4" t="s">
        <v>430</v>
      </c>
      <c r="B86" s="5" t="s">
        <v>16</v>
      </c>
      <c r="C86" s="5" t="s">
        <v>17</v>
      </c>
      <c r="D86" s="5" t="s">
        <v>18</v>
      </c>
      <c r="E86" s="6">
        <v>44983</v>
      </c>
      <c r="F86" s="6">
        <v>45019</v>
      </c>
      <c r="G86" s="5" t="s">
        <v>19</v>
      </c>
      <c r="H86" s="4" t="s">
        <v>431</v>
      </c>
      <c r="I86" s="5" t="s">
        <v>432</v>
      </c>
      <c r="J86" s="4" t="s">
        <v>433</v>
      </c>
      <c r="K86" s="9"/>
      <c r="L86" s="9"/>
      <c r="M86" s="9"/>
      <c r="N86" s="9"/>
      <c r="O86" s="9"/>
      <c r="P86" s="4" t="s">
        <v>434</v>
      </c>
      <c r="Q86" s="5">
        <v>20240125</v>
      </c>
      <c r="R86" s="5" t="s">
        <v>17</v>
      </c>
      <c r="S86" s="5" t="s">
        <v>17</v>
      </c>
      <c r="T86" s="5">
        <v>2023</v>
      </c>
    </row>
    <row r="87" spans="1:20" ht="247.75" x14ac:dyDescent="0.4">
      <c r="A87" s="4" t="s">
        <v>435</v>
      </c>
      <c r="B87" s="5" t="s">
        <v>16</v>
      </c>
      <c r="C87" s="5" t="s">
        <v>17</v>
      </c>
      <c r="D87" s="5" t="s">
        <v>18</v>
      </c>
      <c r="E87" s="6">
        <v>44995</v>
      </c>
      <c r="F87" s="6">
        <v>45030</v>
      </c>
      <c r="G87" s="5" t="s">
        <v>19</v>
      </c>
      <c r="H87" s="4" t="s">
        <v>436</v>
      </c>
      <c r="I87" s="4" t="s">
        <v>437</v>
      </c>
      <c r="J87" s="4" t="s">
        <v>438</v>
      </c>
      <c r="K87" s="9"/>
      <c r="L87" s="9"/>
      <c r="M87" s="9"/>
      <c r="N87" s="9"/>
      <c r="O87" s="9"/>
      <c r="P87" s="4" t="s">
        <v>439</v>
      </c>
      <c r="Q87" s="5">
        <v>20240125</v>
      </c>
      <c r="R87" s="5" t="s">
        <v>17</v>
      </c>
      <c r="S87" s="5" t="s">
        <v>17</v>
      </c>
      <c r="T87" s="5">
        <v>2023</v>
      </c>
    </row>
    <row r="88" spans="1:20" ht="262.3" x14ac:dyDescent="0.4">
      <c r="A88" s="4" t="s">
        <v>440</v>
      </c>
      <c r="B88" s="5" t="s">
        <v>16</v>
      </c>
      <c r="C88" s="5" t="s">
        <v>17</v>
      </c>
      <c r="D88" s="5" t="s">
        <v>18</v>
      </c>
      <c r="E88" s="6">
        <v>44993</v>
      </c>
      <c r="F88" s="6">
        <v>44998</v>
      </c>
      <c r="G88" s="5" t="s">
        <v>19</v>
      </c>
      <c r="H88" s="4" t="s">
        <v>441</v>
      </c>
      <c r="I88" s="4" t="s">
        <v>442</v>
      </c>
      <c r="J88" s="4" t="s">
        <v>443</v>
      </c>
      <c r="K88" s="9"/>
      <c r="L88" s="9"/>
      <c r="M88" s="9"/>
      <c r="N88" s="9"/>
      <c r="O88" s="9"/>
      <c r="P88" s="4" t="s">
        <v>444</v>
      </c>
      <c r="Q88" s="5">
        <v>20240125</v>
      </c>
      <c r="R88" s="5" t="s">
        <v>17</v>
      </c>
      <c r="S88" s="5" t="s">
        <v>17</v>
      </c>
      <c r="T88" s="5">
        <v>2023</v>
      </c>
    </row>
    <row r="89" spans="1:20" ht="291.45" x14ac:dyDescent="0.4">
      <c r="A89" s="4" t="s">
        <v>445</v>
      </c>
      <c r="B89" s="5" t="s">
        <v>16</v>
      </c>
      <c r="C89" s="5" t="s">
        <v>17</v>
      </c>
      <c r="D89" s="5" t="s">
        <v>18</v>
      </c>
      <c r="E89" s="6">
        <v>44993</v>
      </c>
      <c r="F89" s="6">
        <v>45058</v>
      </c>
      <c r="G89" s="5" t="s">
        <v>19</v>
      </c>
      <c r="H89" s="4" t="s">
        <v>446</v>
      </c>
      <c r="I89" s="4" t="s">
        <v>447</v>
      </c>
      <c r="J89" s="4" t="s">
        <v>448</v>
      </c>
      <c r="K89" s="8"/>
      <c r="L89" s="8"/>
      <c r="M89" s="8"/>
      <c r="N89" s="8"/>
      <c r="O89" s="8"/>
      <c r="P89" s="4" t="s">
        <v>449</v>
      </c>
      <c r="Q89" s="5">
        <v>20240125</v>
      </c>
      <c r="R89" s="5" t="s">
        <v>17</v>
      </c>
      <c r="S89" s="5" t="s">
        <v>17</v>
      </c>
      <c r="T89" s="5">
        <v>2023</v>
      </c>
    </row>
    <row r="90" spans="1:20" ht="409.6" x14ac:dyDescent="0.4">
      <c r="A90" s="4" t="s">
        <v>450</v>
      </c>
      <c r="B90" s="5" t="s">
        <v>16</v>
      </c>
      <c r="C90" s="5" t="s">
        <v>17</v>
      </c>
      <c r="D90" s="5" t="s">
        <v>18</v>
      </c>
      <c r="E90" s="6">
        <v>45003</v>
      </c>
      <c r="F90" s="6">
        <v>45035</v>
      </c>
      <c r="G90" s="5" t="s">
        <v>19</v>
      </c>
      <c r="H90" s="4" t="s">
        <v>451</v>
      </c>
      <c r="I90" s="5" t="s">
        <v>452</v>
      </c>
      <c r="J90" s="4" t="s">
        <v>453</v>
      </c>
      <c r="K90" s="9"/>
      <c r="L90" s="9"/>
      <c r="M90" s="9"/>
      <c r="N90" s="9"/>
      <c r="O90" s="9"/>
      <c r="P90" s="4" t="s">
        <v>454</v>
      </c>
      <c r="Q90" s="5">
        <v>20240125</v>
      </c>
      <c r="R90" s="5" t="s">
        <v>17</v>
      </c>
      <c r="S90" s="5" t="s">
        <v>17</v>
      </c>
      <c r="T90" s="5">
        <v>2023</v>
      </c>
    </row>
    <row r="91" spans="1:20" ht="218.6" x14ac:dyDescent="0.4">
      <c r="A91" s="4" t="s">
        <v>455</v>
      </c>
      <c r="B91" s="5" t="s">
        <v>16</v>
      </c>
      <c r="C91" s="5" t="s">
        <v>17</v>
      </c>
      <c r="D91" s="5" t="s">
        <v>18</v>
      </c>
      <c r="E91" s="6">
        <v>45000</v>
      </c>
      <c r="F91" s="6">
        <v>45072</v>
      </c>
      <c r="G91" s="5" t="s">
        <v>19</v>
      </c>
      <c r="H91" s="4" t="s">
        <v>456</v>
      </c>
      <c r="I91" s="5" t="s">
        <v>457</v>
      </c>
      <c r="J91" s="4" t="s">
        <v>458</v>
      </c>
      <c r="K91" s="9"/>
      <c r="L91" s="9"/>
      <c r="M91" s="9"/>
      <c r="N91" s="9"/>
      <c r="O91" s="9"/>
      <c r="P91" s="4" t="s">
        <v>459</v>
      </c>
      <c r="Q91" s="5">
        <v>20240125</v>
      </c>
      <c r="R91" s="5" t="s">
        <v>17</v>
      </c>
      <c r="S91" s="5" t="s">
        <v>17</v>
      </c>
      <c r="T91" s="5">
        <v>2023</v>
      </c>
    </row>
    <row r="92" spans="1:20" ht="409.6" x14ac:dyDescent="0.4">
      <c r="A92" s="4" t="s">
        <v>460</v>
      </c>
      <c r="B92" s="5" t="s">
        <v>16</v>
      </c>
      <c r="C92" s="5" t="s">
        <v>17</v>
      </c>
      <c r="D92" s="5" t="s">
        <v>18</v>
      </c>
      <c r="E92" s="6">
        <v>44998</v>
      </c>
      <c r="F92" s="6">
        <v>45030</v>
      </c>
      <c r="G92" s="5" t="s">
        <v>19</v>
      </c>
      <c r="H92" s="4" t="s">
        <v>461</v>
      </c>
      <c r="I92" s="4" t="s">
        <v>462</v>
      </c>
      <c r="J92" s="4" t="s">
        <v>463</v>
      </c>
      <c r="K92" s="8"/>
      <c r="L92" s="8"/>
      <c r="M92" s="8"/>
      <c r="N92" s="8"/>
      <c r="O92" s="8"/>
      <c r="P92" s="4" t="s">
        <v>464</v>
      </c>
      <c r="Q92" s="5">
        <v>20240125</v>
      </c>
      <c r="R92" s="5" t="s">
        <v>17</v>
      </c>
      <c r="S92" s="5" t="s">
        <v>17</v>
      </c>
      <c r="T92" s="5">
        <v>2023</v>
      </c>
    </row>
    <row r="93" spans="1:20" ht="204" x14ac:dyDescent="0.4">
      <c r="A93" s="4" t="s">
        <v>465</v>
      </c>
      <c r="B93" s="5" t="s">
        <v>16</v>
      </c>
      <c r="C93" s="5" t="s">
        <v>17</v>
      </c>
      <c r="D93" s="5" t="s">
        <v>18</v>
      </c>
      <c r="E93" s="6">
        <v>45007</v>
      </c>
      <c r="F93" s="6">
        <v>45041</v>
      </c>
      <c r="G93" s="5" t="s">
        <v>19</v>
      </c>
      <c r="H93" s="4" t="s">
        <v>466</v>
      </c>
      <c r="I93" s="4" t="s">
        <v>467</v>
      </c>
      <c r="J93" s="4" t="s">
        <v>468</v>
      </c>
      <c r="K93" s="9"/>
      <c r="L93" s="9"/>
      <c r="M93" s="9"/>
      <c r="N93" s="9"/>
      <c r="O93" s="9"/>
      <c r="P93" s="4" t="s">
        <v>469</v>
      </c>
      <c r="Q93" s="5">
        <v>20240125</v>
      </c>
      <c r="R93" s="5" t="s">
        <v>17</v>
      </c>
      <c r="S93" s="5" t="s">
        <v>17</v>
      </c>
      <c r="T93" s="5">
        <v>2023</v>
      </c>
    </row>
    <row r="94" spans="1:20" ht="409.6" x14ac:dyDescent="0.4">
      <c r="A94" s="4" t="s">
        <v>470</v>
      </c>
      <c r="B94" s="5" t="s">
        <v>16</v>
      </c>
      <c r="C94" s="5" t="s">
        <v>17</v>
      </c>
      <c r="D94" s="5" t="s">
        <v>18</v>
      </c>
      <c r="E94" s="6">
        <v>45017</v>
      </c>
      <c r="F94" s="6">
        <v>45048</v>
      </c>
      <c r="G94" s="5" t="s">
        <v>19</v>
      </c>
      <c r="H94" s="4" t="s">
        <v>471</v>
      </c>
      <c r="I94" s="4" t="s">
        <v>472</v>
      </c>
      <c r="J94" s="4" t="s">
        <v>473</v>
      </c>
      <c r="K94" s="9"/>
      <c r="L94" s="9"/>
      <c r="M94" s="9"/>
      <c r="N94" s="9"/>
      <c r="O94" s="9"/>
      <c r="P94" s="4" t="s">
        <v>474</v>
      </c>
      <c r="Q94" s="5">
        <v>20240125</v>
      </c>
      <c r="R94" s="5" t="s">
        <v>17</v>
      </c>
      <c r="S94" s="5" t="s">
        <v>17</v>
      </c>
      <c r="T94" s="5">
        <v>2023</v>
      </c>
    </row>
    <row r="95" spans="1:20" ht="276.89999999999998" x14ac:dyDescent="0.4">
      <c r="A95" s="4" t="s">
        <v>475</v>
      </c>
      <c r="B95" s="5" t="s">
        <v>16</v>
      </c>
      <c r="C95" s="5" t="s">
        <v>17</v>
      </c>
      <c r="D95" s="5" t="s">
        <v>18</v>
      </c>
      <c r="E95" s="6">
        <v>45015</v>
      </c>
      <c r="F95" s="6">
        <v>45047</v>
      </c>
      <c r="G95" s="5" t="s">
        <v>19</v>
      </c>
      <c r="H95" s="4" t="s">
        <v>476</v>
      </c>
      <c r="I95" s="5" t="s">
        <v>477</v>
      </c>
      <c r="J95" s="4" t="s">
        <v>478</v>
      </c>
      <c r="K95" s="9"/>
      <c r="L95" s="9"/>
      <c r="M95" s="9"/>
      <c r="N95" s="9"/>
      <c r="O95" s="9"/>
      <c r="P95" s="4" t="s">
        <v>479</v>
      </c>
      <c r="Q95" s="5">
        <v>20240125</v>
      </c>
      <c r="R95" s="5" t="s">
        <v>17</v>
      </c>
      <c r="S95" s="5" t="s">
        <v>17</v>
      </c>
      <c r="T95" s="5">
        <v>2023</v>
      </c>
    </row>
    <row r="96" spans="1:20" ht="408" x14ac:dyDescent="0.4">
      <c r="A96" s="4" t="s">
        <v>480</v>
      </c>
      <c r="B96" s="5" t="s">
        <v>16</v>
      </c>
      <c r="C96" s="5" t="s">
        <v>17</v>
      </c>
      <c r="D96" s="5" t="s">
        <v>18</v>
      </c>
      <c r="E96" s="6">
        <v>45014</v>
      </c>
      <c r="F96" s="6">
        <v>45047</v>
      </c>
      <c r="G96" s="5" t="s">
        <v>19</v>
      </c>
      <c r="H96" s="4" t="s">
        <v>481</v>
      </c>
      <c r="I96" s="4" t="s">
        <v>482</v>
      </c>
      <c r="J96" s="4" t="s">
        <v>483</v>
      </c>
      <c r="K96" s="8"/>
      <c r="L96" s="8"/>
      <c r="M96" s="8"/>
      <c r="N96" s="8"/>
      <c r="O96" s="8"/>
      <c r="P96" s="4" t="s">
        <v>484</v>
      </c>
      <c r="Q96" s="5">
        <v>20240125</v>
      </c>
      <c r="R96" s="5" t="s">
        <v>17</v>
      </c>
      <c r="S96" s="5" t="s">
        <v>17</v>
      </c>
      <c r="T96" s="5">
        <v>2023</v>
      </c>
    </row>
    <row r="97" spans="1:20" ht="291.45" x14ac:dyDescent="0.4">
      <c r="A97" s="4" t="s">
        <v>485</v>
      </c>
      <c r="B97" s="5" t="s">
        <v>16</v>
      </c>
      <c r="C97" s="5" t="s">
        <v>17</v>
      </c>
      <c r="D97" s="5" t="s">
        <v>18</v>
      </c>
      <c r="E97" s="6">
        <v>45014</v>
      </c>
      <c r="F97" s="6">
        <v>45062</v>
      </c>
      <c r="G97" s="5" t="s">
        <v>19</v>
      </c>
      <c r="H97" s="4" t="s">
        <v>486</v>
      </c>
      <c r="I97" s="4" t="s">
        <v>487</v>
      </c>
      <c r="J97" s="4" t="s">
        <v>488</v>
      </c>
      <c r="K97" s="8"/>
      <c r="L97" s="8"/>
      <c r="M97" s="8"/>
      <c r="N97" s="8"/>
      <c r="O97" s="8"/>
      <c r="P97" s="4" t="s">
        <v>489</v>
      </c>
      <c r="Q97" s="5">
        <v>20240125</v>
      </c>
      <c r="R97" s="5" t="s">
        <v>17</v>
      </c>
      <c r="S97" s="5" t="s">
        <v>17</v>
      </c>
      <c r="T97" s="5">
        <v>2023</v>
      </c>
    </row>
    <row r="98" spans="1:20" ht="409.6" x14ac:dyDescent="0.4">
      <c r="A98" s="4" t="s">
        <v>490</v>
      </c>
      <c r="B98" s="5" t="s">
        <v>16</v>
      </c>
      <c r="C98" s="5" t="s">
        <v>17</v>
      </c>
      <c r="D98" s="5" t="s">
        <v>18</v>
      </c>
      <c r="E98" s="6">
        <v>45023</v>
      </c>
      <c r="F98" s="6">
        <v>45072</v>
      </c>
      <c r="G98" s="5" t="s">
        <v>19</v>
      </c>
      <c r="H98" s="4" t="s">
        <v>491</v>
      </c>
      <c r="I98" s="4" t="s">
        <v>492</v>
      </c>
      <c r="J98" s="4" t="s">
        <v>493</v>
      </c>
      <c r="K98" s="8"/>
      <c r="L98" s="8"/>
      <c r="M98" s="8"/>
      <c r="N98" s="8"/>
      <c r="O98" s="8"/>
      <c r="P98" s="4" t="s">
        <v>494</v>
      </c>
      <c r="Q98" s="5">
        <v>20240125</v>
      </c>
      <c r="R98" s="5" t="s">
        <v>17</v>
      </c>
      <c r="S98" s="5" t="s">
        <v>17</v>
      </c>
      <c r="T98" s="5">
        <v>2023</v>
      </c>
    </row>
    <row r="99" spans="1:20" ht="291.45" x14ac:dyDescent="0.4">
      <c r="A99" s="4" t="s">
        <v>495</v>
      </c>
      <c r="B99" s="5" t="s">
        <v>16</v>
      </c>
      <c r="C99" s="5" t="s">
        <v>17</v>
      </c>
      <c r="D99" s="5" t="s">
        <v>18</v>
      </c>
      <c r="E99" s="6">
        <v>45020</v>
      </c>
      <c r="F99" s="6">
        <v>45062</v>
      </c>
      <c r="G99" s="5" t="s">
        <v>19</v>
      </c>
      <c r="H99" s="4" t="s">
        <v>496</v>
      </c>
      <c r="I99" s="4" t="s">
        <v>496</v>
      </c>
      <c r="J99" s="4" t="s">
        <v>497</v>
      </c>
      <c r="K99" s="9"/>
      <c r="L99" s="9"/>
      <c r="M99" s="9"/>
      <c r="N99" s="9"/>
      <c r="O99" s="9"/>
      <c r="P99" s="4" t="s">
        <v>498</v>
      </c>
      <c r="Q99" s="5">
        <v>20240125</v>
      </c>
      <c r="R99" s="5" t="s">
        <v>17</v>
      </c>
      <c r="S99" s="5" t="s">
        <v>17</v>
      </c>
      <c r="T99" s="5">
        <v>2023</v>
      </c>
    </row>
    <row r="100" spans="1:20" ht="320.60000000000002" x14ac:dyDescent="0.4">
      <c r="A100" s="4" t="s">
        <v>499</v>
      </c>
      <c r="B100" s="5" t="s">
        <v>16</v>
      </c>
      <c r="C100" s="5" t="s">
        <v>17</v>
      </c>
      <c r="D100" s="5" t="s">
        <v>18</v>
      </c>
      <c r="E100" s="6">
        <v>45034</v>
      </c>
      <c r="F100" s="6">
        <v>45105</v>
      </c>
      <c r="G100" s="5" t="s">
        <v>19</v>
      </c>
      <c r="H100" s="4" t="e">
        <f>-최근에 방송사마다 경쟁이라도 하듯 애완동물 관련 프로그램이 너무 많습니다.
-TV만 켜면 온통 애완동물 프로그램이 화면을 장식하고 있습니다.
-먹고 살기 어려운 사람들이 얼마나 많은데, 사람보다 애완동물이 더 잘 먹고, 더 잘 사는 모습이 방송을 통해 전해지고 있습니다.
*문제점은 젊은층의 사람들이 이런 장면들을 보고 너도나도 애완동물/반려동물을 키우게 되고, 결혼과 출산에 대한 생각을 멀어지게 하고 있다고 생각합니다. -
애완동물을 키우는 사람 대부분이 가족처럼 생각하거나 자식처럼 생각하기 때문에 출산에 대한 생각이 점점 멀어지게 하는 요인으로 작용하고 있다고 생각합니다.</f>
        <v>#NAME?</v>
      </c>
      <c r="I100" s="4" t="s">
        <v>500</v>
      </c>
      <c r="J100" s="4" t="e">
        <f>-저출산 문제를 해결하는데 있어 먼저 의식개선이 필요하다고 생각합니다.
                                                                                                                                                                                                                                                                동물이 아닌 아이가 있음으로 해서 얻어지는 즐거움과 행복을 간접적으로나마 느끼게 될 것으로 기대합니다.
-정부의 혜택만으로도 아이를 양육할 수 있다는 것을 보여줌으로해서 출산과 양육에 대한 걱정도 줄어들고, 저출산문제도 자연스럽게 해결되리라 생각합니다.</f>
        <v>#NAME?</v>
      </c>
      <c r="K100" s="9"/>
      <c r="L100" s="9"/>
      <c r="M100" s="9"/>
      <c r="N100" s="9"/>
      <c r="O100" s="9"/>
      <c r="P100" s="4" t="s">
        <v>501</v>
      </c>
      <c r="Q100" s="5">
        <v>20240125</v>
      </c>
      <c r="R100" s="5" t="s">
        <v>17</v>
      </c>
      <c r="S100" s="5" t="s">
        <v>17</v>
      </c>
      <c r="T100" s="5">
        <v>2023</v>
      </c>
    </row>
    <row r="101" spans="1:20" ht="409.6" x14ac:dyDescent="0.4">
      <c r="A101" s="4" t="s">
        <v>502</v>
      </c>
      <c r="B101" s="5" t="s">
        <v>16</v>
      </c>
      <c r="C101" s="5" t="s">
        <v>17</v>
      </c>
      <c r="D101" s="5" t="s">
        <v>18</v>
      </c>
      <c r="E101" s="6">
        <v>45033</v>
      </c>
      <c r="F101" s="6">
        <v>45065</v>
      </c>
      <c r="G101" s="5" t="s">
        <v>19</v>
      </c>
      <c r="H101" s="4" t="s">
        <v>503</v>
      </c>
      <c r="I101" s="4" t="s">
        <v>504</v>
      </c>
      <c r="J101" s="4" t="s">
        <v>505</v>
      </c>
      <c r="K101" s="9"/>
      <c r="L101" s="9"/>
      <c r="M101" s="9"/>
      <c r="N101" s="9"/>
      <c r="O101" s="9"/>
      <c r="P101" s="4" t="s">
        <v>506</v>
      </c>
      <c r="Q101" s="5">
        <v>20240125</v>
      </c>
      <c r="R101" s="5" t="s">
        <v>17</v>
      </c>
      <c r="S101" s="5" t="s">
        <v>17</v>
      </c>
      <c r="T101" s="5">
        <v>2023</v>
      </c>
    </row>
    <row r="102" spans="1:20" ht="276.89999999999998" x14ac:dyDescent="0.4">
      <c r="A102" s="4" t="s">
        <v>507</v>
      </c>
      <c r="B102" s="5" t="s">
        <v>16</v>
      </c>
      <c r="C102" s="5" t="s">
        <v>17</v>
      </c>
      <c r="D102" s="5" t="s">
        <v>18</v>
      </c>
      <c r="E102" s="6">
        <v>45052</v>
      </c>
      <c r="F102" s="6">
        <v>45078</v>
      </c>
      <c r="G102" s="5" t="s">
        <v>19</v>
      </c>
      <c r="H102" s="4" t="s">
        <v>508</v>
      </c>
      <c r="I102" s="4" t="s">
        <v>509</v>
      </c>
      <c r="J102" s="4" t="s">
        <v>510</v>
      </c>
      <c r="K102" s="9"/>
      <c r="L102" s="9"/>
      <c r="M102" s="9"/>
      <c r="N102" s="9"/>
      <c r="O102" s="9"/>
      <c r="P102" s="4" t="s">
        <v>511</v>
      </c>
      <c r="Q102" s="5">
        <v>20240125</v>
      </c>
      <c r="R102" s="5" t="s">
        <v>17</v>
      </c>
      <c r="S102" s="5" t="s">
        <v>17</v>
      </c>
      <c r="T102" s="5">
        <v>2023</v>
      </c>
    </row>
    <row r="103" spans="1:20" ht="409.6" x14ac:dyDescent="0.4">
      <c r="A103" s="4" t="s">
        <v>512</v>
      </c>
      <c r="B103" s="5" t="s">
        <v>16</v>
      </c>
      <c r="C103" s="5" t="s">
        <v>17</v>
      </c>
      <c r="D103" s="5" t="s">
        <v>18</v>
      </c>
      <c r="E103" s="6">
        <v>45056</v>
      </c>
      <c r="F103" s="6">
        <v>45118</v>
      </c>
      <c r="G103" s="5" t="s">
        <v>19</v>
      </c>
      <c r="H103" s="4" t="s">
        <v>513</v>
      </c>
      <c r="I103" s="4" t="s">
        <v>514</v>
      </c>
      <c r="J103" s="4" t="s">
        <v>515</v>
      </c>
      <c r="K103" s="8"/>
      <c r="L103" s="8"/>
      <c r="M103" s="8"/>
      <c r="N103" s="8"/>
      <c r="O103" s="8"/>
      <c r="P103" s="4" t="s">
        <v>516</v>
      </c>
      <c r="Q103" s="5">
        <v>20240125</v>
      </c>
      <c r="R103" s="5" t="s">
        <v>17</v>
      </c>
      <c r="S103" s="5" t="s">
        <v>17</v>
      </c>
      <c r="T103" s="5">
        <v>2023</v>
      </c>
    </row>
    <row r="104" spans="1:20" ht="409.6" x14ac:dyDescent="0.4">
      <c r="A104" s="4" t="s">
        <v>517</v>
      </c>
      <c r="B104" s="5" t="s">
        <v>16</v>
      </c>
      <c r="C104" s="5" t="s">
        <v>17</v>
      </c>
      <c r="D104" s="5" t="s">
        <v>18</v>
      </c>
      <c r="E104" s="6">
        <v>45071</v>
      </c>
      <c r="F104" s="6">
        <v>45103</v>
      </c>
      <c r="G104" s="5" t="s">
        <v>19</v>
      </c>
      <c r="H104" s="4" t="s">
        <v>518</v>
      </c>
      <c r="I104" s="5" t="e">
        <f>- 장기요양기관 여성 대표겸시설장에게 출산휴가, 육아휴직등 모성보호 부여
- 시설장 대체인력 허용
- 출산,육아휴직 필요 여성대표겸시설장에게 월 기준 근무시간 단축 제도시행</f>
        <v>#NAME?</v>
      </c>
      <c r="J104" s="4" t="e">
        <f>- 현재 여성대표겸시설장에게 출산 및 육아휴직등 모성보호제도를 시행 할 수 있도록 하게된다면 출산부담을 줄이고 자녀양육부담을 줄일 수 있음
- 시설장 대체인력 허용을 통해 대표겸시설장은 휴직하며 출산과 육아를 시행할 수 있음
- 출산 또는 육아휴직이 필요한 여성 대표겸 시설장에게 월기준 근무시간 단축 제도를 시행하여 사업주의 역할과 양육부담을 효율적으로 이용할 수 있도록 도움</f>
        <v>#NAME?</v>
      </c>
      <c r="K104" s="9"/>
      <c r="L104" s="9"/>
      <c r="M104" s="9"/>
      <c r="N104" s="9"/>
      <c r="O104" s="9"/>
      <c r="P104" s="4" t="s">
        <v>519</v>
      </c>
      <c r="Q104" s="5">
        <v>20240125</v>
      </c>
      <c r="R104" s="5" t="s">
        <v>17</v>
      </c>
      <c r="S104" s="5" t="s">
        <v>17</v>
      </c>
      <c r="T104" s="5">
        <v>2023</v>
      </c>
    </row>
    <row r="105" spans="1:20" ht="233.15" x14ac:dyDescent="0.4">
      <c r="A105" s="4" t="s">
        <v>520</v>
      </c>
      <c r="B105" s="5" t="s">
        <v>16</v>
      </c>
      <c r="C105" s="5" t="s">
        <v>17</v>
      </c>
      <c r="D105" s="5" t="s">
        <v>18</v>
      </c>
      <c r="E105" s="6">
        <v>45078</v>
      </c>
      <c r="F105" s="6">
        <v>45212</v>
      </c>
      <c r="G105" s="5" t="s">
        <v>19</v>
      </c>
      <c r="H105" s="4" t="s">
        <v>521</v>
      </c>
      <c r="I105" s="5" t="s">
        <v>522</v>
      </c>
      <c r="J105" s="4" t="s">
        <v>523</v>
      </c>
      <c r="K105" s="9"/>
      <c r="L105" s="9"/>
      <c r="M105" s="9"/>
      <c r="N105" s="9"/>
      <c r="O105" s="9"/>
      <c r="P105" s="4" t="s">
        <v>524</v>
      </c>
      <c r="Q105" s="5">
        <v>20240125</v>
      </c>
      <c r="R105" s="5" t="s">
        <v>17</v>
      </c>
      <c r="S105" s="5" t="s">
        <v>17</v>
      </c>
      <c r="T105" s="5">
        <v>2023</v>
      </c>
    </row>
    <row r="106" spans="1:20" ht="262.3" x14ac:dyDescent="0.4">
      <c r="A106" s="4" t="s">
        <v>525</v>
      </c>
      <c r="B106" s="5" t="s">
        <v>16</v>
      </c>
      <c r="C106" s="5" t="s">
        <v>526</v>
      </c>
      <c r="D106" s="5" t="s">
        <v>18</v>
      </c>
      <c r="E106" s="6">
        <v>45086</v>
      </c>
      <c r="F106" s="6">
        <v>45131</v>
      </c>
      <c r="G106" s="5" t="s">
        <v>19</v>
      </c>
      <c r="H106" s="4" t="s">
        <v>527</v>
      </c>
      <c r="I106" s="4" t="s">
        <v>528</v>
      </c>
      <c r="J106" s="4" t="s">
        <v>529</v>
      </c>
      <c r="K106" s="8"/>
      <c r="L106" s="8"/>
      <c r="M106" s="8"/>
      <c r="N106" s="8"/>
      <c r="O106" s="8"/>
      <c r="P106" s="4" t="s">
        <v>530</v>
      </c>
      <c r="Q106" s="5">
        <v>20240125</v>
      </c>
      <c r="R106" s="5" t="s">
        <v>17</v>
      </c>
      <c r="S106" s="5" t="s">
        <v>17</v>
      </c>
      <c r="T106" s="5">
        <v>2023</v>
      </c>
    </row>
    <row r="107" spans="1:20" ht="233.15" x14ac:dyDescent="0.4">
      <c r="A107" s="4" t="s">
        <v>531</v>
      </c>
      <c r="B107" s="5" t="s">
        <v>16</v>
      </c>
      <c r="C107" s="5" t="s">
        <v>17</v>
      </c>
      <c r="D107" s="5" t="s">
        <v>18</v>
      </c>
      <c r="E107" s="6">
        <v>45092</v>
      </c>
      <c r="F107" s="6">
        <v>45107</v>
      </c>
      <c r="G107" s="5" t="s">
        <v>19</v>
      </c>
      <c r="H107" s="4" t="s">
        <v>532</v>
      </c>
      <c r="I107" s="4" t="s">
        <v>533</v>
      </c>
      <c r="J107" s="4" t="s">
        <v>534</v>
      </c>
      <c r="K107" s="8"/>
      <c r="L107" s="8"/>
      <c r="M107" s="8"/>
      <c r="N107" s="8"/>
      <c r="O107" s="8"/>
      <c r="P107" s="4" t="s">
        <v>535</v>
      </c>
      <c r="Q107" s="5">
        <v>20240125</v>
      </c>
      <c r="R107" s="5" t="s">
        <v>17</v>
      </c>
      <c r="S107" s="5" t="s">
        <v>17</v>
      </c>
      <c r="T107" s="5">
        <v>2023</v>
      </c>
    </row>
    <row r="108" spans="1:20" ht="335.15" x14ac:dyDescent="0.4">
      <c r="A108" s="4" t="s">
        <v>536</v>
      </c>
      <c r="B108" s="5" t="s">
        <v>16</v>
      </c>
      <c r="C108" s="5" t="s">
        <v>17</v>
      </c>
      <c r="D108" s="5" t="s">
        <v>18</v>
      </c>
      <c r="E108" s="6">
        <v>45092</v>
      </c>
      <c r="F108" s="6">
        <v>45121</v>
      </c>
      <c r="G108" s="5" t="s">
        <v>19</v>
      </c>
      <c r="H108" s="4" t="s">
        <v>537</v>
      </c>
      <c r="I108" s="4" t="s">
        <v>538</v>
      </c>
      <c r="J108" s="4" t="s">
        <v>539</v>
      </c>
      <c r="K108" s="8"/>
      <c r="L108" s="8"/>
      <c r="M108" s="8"/>
      <c r="N108" s="8"/>
      <c r="O108" s="8"/>
      <c r="P108" s="4" t="s">
        <v>540</v>
      </c>
      <c r="Q108" s="5">
        <v>20240125</v>
      </c>
      <c r="R108" s="5" t="s">
        <v>17</v>
      </c>
      <c r="S108" s="5" t="s">
        <v>17</v>
      </c>
      <c r="T108" s="5">
        <v>2023</v>
      </c>
    </row>
    <row r="109" spans="1:20" ht="233.15" x14ac:dyDescent="0.4">
      <c r="A109" s="4" t="s">
        <v>541</v>
      </c>
      <c r="B109" s="5" t="s">
        <v>16</v>
      </c>
      <c r="C109" s="5" t="s">
        <v>17</v>
      </c>
      <c r="D109" s="5" t="s">
        <v>18</v>
      </c>
      <c r="E109" s="6">
        <v>45090</v>
      </c>
      <c r="F109" s="6">
        <v>45154</v>
      </c>
      <c r="G109" s="5" t="s">
        <v>19</v>
      </c>
      <c r="H109" s="4" t="s">
        <v>542</v>
      </c>
      <c r="I109" s="4" t="s">
        <v>543</v>
      </c>
      <c r="J109" s="4" t="s">
        <v>544</v>
      </c>
      <c r="K109" s="8"/>
      <c r="L109" s="8"/>
      <c r="M109" s="8"/>
      <c r="N109" s="8"/>
      <c r="O109" s="8"/>
      <c r="P109" s="4" t="s">
        <v>545</v>
      </c>
      <c r="Q109" s="5">
        <v>20240125</v>
      </c>
      <c r="R109" s="5" t="s">
        <v>17</v>
      </c>
      <c r="S109" s="5" t="s">
        <v>17</v>
      </c>
      <c r="T109" s="5">
        <v>2023</v>
      </c>
    </row>
    <row r="110" spans="1:20" ht="409.6" x14ac:dyDescent="0.4">
      <c r="A110" s="4" t="s">
        <v>546</v>
      </c>
      <c r="B110" s="5" t="s">
        <v>16</v>
      </c>
      <c r="C110" s="5" t="s">
        <v>17</v>
      </c>
      <c r="D110" s="5" t="s">
        <v>18</v>
      </c>
      <c r="E110" s="6">
        <v>45100</v>
      </c>
      <c r="F110" s="6">
        <v>45104</v>
      </c>
      <c r="G110" s="5" t="s">
        <v>19</v>
      </c>
      <c r="H110" s="4" t="s">
        <v>547</v>
      </c>
      <c r="I110" s="4" t="s">
        <v>548</v>
      </c>
      <c r="J110" s="4" t="s">
        <v>549</v>
      </c>
      <c r="K110" s="8"/>
      <c r="L110" s="8"/>
      <c r="M110" s="8"/>
      <c r="N110" s="8"/>
      <c r="O110" s="8"/>
      <c r="P110" s="4" t="s">
        <v>550</v>
      </c>
      <c r="Q110" s="5">
        <v>20240125</v>
      </c>
      <c r="R110" s="5" t="s">
        <v>17</v>
      </c>
      <c r="S110" s="5" t="s">
        <v>17</v>
      </c>
      <c r="T110" s="5">
        <v>2023</v>
      </c>
    </row>
    <row r="111" spans="1:20" ht="306" x14ac:dyDescent="0.4">
      <c r="A111" s="4" t="s">
        <v>551</v>
      </c>
      <c r="B111" s="5" t="s">
        <v>16</v>
      </c>
      <c r="C111" s="5" t="s">
        <v>17</v>
      </c>
      <c r="D111" s="5" t="s">
        <v>18</v>
      </c>
      <c r="E111" s="6">
        <v>45107</v>
      </c>
      <c r="F111" s="6">
        <v>45134</v>
      </c>
      <c r="G111" s="5" t="s">
        <v>19</v>
      </c>
      <c r="H111" s="4" t="s">
        <v>552</v>
      </c>
      <c r="I111" s="4" t="s">
        <v>553</v>
      </c>
      <c r="J111" s="4" t="s">
        <v>554</v>
      </c>
      <c r="K111" s="9"/>
      <c r="L111" s="9"/>
      <c r="M111" s="9"/>
      <c r="N111" s="9"/>
      <c r="O111" s="9"/>
      <c r="P111" s="4" t="s">
        <v>555</v>
      </c>
      <c r="Q111" s="5">
        <v>20240125</v>
      </c>
      <c r="R111" s="5" t="s">
        <v>17</v>
      </c>
      <c r="S111" s="5" t="s">
        <v>17</v>
      </c>
      <c r="T111" s="5">
        <v>2023</v>
      </c>
    </row>
    <row r="112" spans="1:20" ht="409.6" x14ac:dyDescent="0.4">
      <c r="A112" s="4" t="s">
        <v>556</v>
      </c>
      <c r="B112" s="5" t="s">
        <v>16</v>
      </c>
      <c r="C112" s="5" t="s">
        <v>17</v>
      </c>
      <c r="D112" s="5" t="s">
        <v>18</v>
      </c>
      <c r="E112" s="6">
        <v>45106</v>
      </c>
      <c r="F112" s="6">
        <v>45131</v>
      </c>
      <c r="G112" s="5" t="s">
        <v>19</v>
      </c>
      <c r="H112" s="4" t="s">
        <v>557</v>
      </c>
      <c r="I112" s="4" t="s">
        <v>558</v>
      </c>
      <c r="J112" s="4" t="s">
        <v>559</v>
      </c>
      <c r="K112" s="8"/>
      <c r="L112" s="8"/>
      <c r="M112" s="8"/>
      <c r="N112" s="8"/>
      <c r="O112" s="8"/>
      <c r="P112" s="4" t="s">
        <v>560</v>
      </c>
      <c r="Q112" s="5">
        <v>20240125</v>
      </c>
      <c r="R112" s="5" t="s">
        <v>17</v>
      </c>
      <c r="S112" s="5" t="s">
        <v>17</v>
      </c>
      <c r="T112" s="5">
        <v>2023</v>
      </c>
    </row>
    <row r="113" spans="1:20" ht="349.75" x14ac:dyDescent="0.4">
      <c r="A113" s="4" t="s">
        <v>561</v>
      </c>
      <c r="B113" s="5" t="s">
        <v>16</v>
      </c>
      <c r="C113" s="5" t="s">
        <v>17</v>
      </c>
      <c r="D113" s="5" t="s">
        <v>18</v>
      </c>
      <c r="E113" s="6">
        <v>45106</v>
      </c>
      <c r="F113" s="6">
        <v>45126</v>
      </c>
      <c r="G113" s="5" t="s">
        <v>19</v>
      </c>
      <c r="H113" s="4" t="s">
        <v>562</v>
      </c>
      <c r="I113" s="5" t="s">
        <v>563</v>
      </c>
      <c r="J113" s="4" t="s">
        <v>564</v>
      </c>
      <c r="K113" s="9"/>
      <c r="L113" s="9"/>
      <c r="M113" s="9"/>
      <c r="N113" s="9"/>
      <c r="O113" s="9"/>
      <c r="P113" s="4" t="s">
        <v>565</v>
      </c>
      <c r="Q113" s="5">
        <v>20240125</v>
      </c>
      <c r="R113" s="5" t="s">
        <v>17</v>
      </c>
      <c r="S113" s="5" t="s">
        <v>17</v>
      </c>
      <c r="T113" s="5">
        <v>2023</v>
      </c>
    </row>
    <row r="114" spans="1:20" ht="409.6" x14ac:dyDescent="0.4">
      <c r="A114" s="4" t="s">
        <v>566</v>
      </c>
      <c r="B114" s="5" t="s">
        <v>16</v>
      </c>
      <c r="C114" s="5" t="s">
        <v>17</v>
      </c>
      <c r="D114" s="5" t="s">
        <v>18</v>
      </c>
      <c r="E114" s="6">
        <v>45114</v>
      </c>
      <c r="F114" s="6">
        <v>45210</v>
      </c>
      <c r="G114" s="5" t="s">
        <v>19</v>
      </c>
      <c r="H114" s="4" t="s">
        <v>567</v>
      </c>
      <c r="I114" s="5" t="s">
        <v>568</v>
      </c>
      <c r="J114" s="4" t="s">
        <v>569</v>
      </c>
      <c r="K114" s="9"/>
      <c r="L114" s="9"/>
      <c r="M114" s="9"/>
      <c r="N114" s="9"/>
      <c r="O114" s="9"/>
      <c r="P114" s="4" t="s">
        <v>570</v>
      </c>
      <c r="Q114" s="5">
        <v>20240125</v>
      </c>
      <c r="R114" s="5" t="s">
        <v>17</v>
      </c>
      <c r="S114" s="5" t="s">
        <v>17</v>
      </c>
      <c r="T114" s="5">
        <v>2023</v>
      </c>
    </row>
    <row r="115" spans="1:20" ht="335.15" x14ac:dyDescent="0.4">
      <c r="A115" s="4" t="s">
        <v>571</v>
      </c>
      <c r="B115" s="5" t="s">
        <v>16</v>
      </c>
      <c r="C115" s="5" t="s">
        <v>17</v>
      </c>
      <c r="D115" s="5" t="s">
        <v>18</v>
      </c>
      <c r="E115" s="6">
        <v>45122</v>
      </c>
      <c r="F115" s="6">
        <v>45163</v>
      </c>
      <c r="G115" s="5" t="s">
        <v>19</v>
      </c>
      <c r="H115" s="4" t="s">
        <v>572</v>
      </c>
      <c r="I115" s="5" t="s">
        <v>573</v>
      </c>
      <c r="J115" s="4" t="s">
        <v>574</v>
      </c>
      <c r="K115" s="9"/>
      <c r="L115" s="9"/>
      <c r="M115" s="9"/>
      <c r="N115" s="9"/>
      <c r="O115" s="9"/>
      <c r="P115" s="4" t="s">
        <v>575</v>
      </c>
      <c r="Q115" s="5">
        <v>20240125</v>
      </c>
      <c r="R115" s="5" t="s">
        <v>17</v>
      </c>
      <c r="S115" s="5" t="s">
        <v>17</v>
      </c>
      <c r="T115" s="5">
        <v>2023</v>
      </c>
    </row>
    <row r="116" spans="1:20" ht="378.9" x14ac:dyDescent="0.4">
      <c r="A116" s="4" t="s">
        <v>576</v>
      </c>
      <c r="B116" s="5" t="s">
        <v>16</v>
      </c>
      <c r="C116" s="5" t="s">
        <v>17</v>
      </c>
      <c r="D116" s="5" t="s">
        <v>18</v>
      </c>
      <c r="E116" s="6">
        <v>45117</v>
      </c>
      <c r="F116" s="6">
        <v>45210</v>
      </c>
      <c r="G116" s="5" t="s">
        <v>19</v>
      </c>
      <c r="H116" s="4" t="s">
        <v>577</v>
      </c>
      <c r="I116" s="4" t="s">
        <v>578</v>
      </c>
      <c r="J116" s="4" t="s">
        <v>579</v>
      </c>
      <c r="K116" s="8"/>
      <c r="L116" s="8"/>
      <c r="M116" s="8"/>
      <c r="N116" s="8"/>
      <c r="O116" s="8"/>
      <c r="P116" s="4" t="s">
        <v>580</v>
      </c>
      <c r="Q116" s="5">
        <v>20240125</v>
      </c>
      <c r="R116" s="5" t="s">
        <v>17</v>
      </c>
      <c r="S116" s="5" t="s">
        <v>17</v>
      </c>
      <c r="T116" s="5">
        <v>2023</v>
      </c>
    </row>
    <row r="117" spans="1:20" ht="306" x14ac:dyDescent="0.4">
      <c r="A117" s="4" t="s">
        <v>581</v>
      </c>
      <c r="B117" s="5" t="s">
        <v>16</v>
      </c>
      <c r="C117" s="5" t="s">
        <v>17</v>
      </c>
      <c r="D117" s="5" t="s">
        <v>18</v>
      </c>
      <c r="E117" s="6">
        <v>45135</v>
      </c>
      <c r="F117" s="6">
        <v>45224</v>
      </c>
      <c r="G117" s="5" t="s">
        <v>19</v>
      </c>
      <c r="H117" s="4" t="s">
        <v>582</v>
      </c>
      <c r="I117" s="5" t="s">
        <v>583</v>
      </c>
      <c r="J117" s="4" t="s">
        <v>584</v>
      </c>
      <c r="K117" s="9"/>
      <c r="L117" s="9"/>
      <c r="M117" s="9"/>
      <c r="N117" s="9"/>
      <c r="O117" s="9"/>
      <c r="P117" s="4" t="s">
        <v>585</v>
      </c>
      <c r="Q117" s="5">
        <v>20240125</v>
      </c>
      <c r="R117" s="5" t="s">
        <v>17</v>
      </c>
      <c r="S117" s="5" t="s">
        <v>17</v>
      </c>
      <c r="T117" s="5">
        <v>2023</v>
      </c>
    </row>
    <row r="118" spans="1:20" ht="291.45" x14ac:dyDescent="0.4">
      <c r="A118" s="4" t="s">
        <v>586</v>
      </c>
      <c r="B118" s="5" t="s">
        <v>16</v>
      </c>
      <c r="C118" s="5" t="s">
        <v>17</v>
      </c>
      <c r="D118" s="5" t="s">
        <v>18</v>
      </c>
      <c r="E118" s="6">
        <v>45146</v>
      </c>
      <c r="F118" s="6">
        <v>45154</v>
      </c>
      <c r="G118" s="5" t="s">
        <v>19</v>
      </c>
      <c r="H118" s="4" t="s">
        <v>587</v>
      </c>
      <c r="I118" s="5" t="s">
        <v>588</v>
      </c>
      <c r="J118" s="4" t="s">
        <v>589</v>
      </c>
      <c r="K118" s="9"/>
      <c r="L118" s="9"/>
      <c r="M118" s="9"/>
      <c r="N118" s="9"/>
      <c r="O118" s="9"/>
      <c r="P118" s="4" t="s">
        <v>590</v>
      </c>
      <c r="Q118" s="5">
        <v>20240125</v>
      </c>
      <c r="R118" s="5" t="s">
        <v>17</v>
      </c>
      <c r="S118" s="5" t="s">
        <v>17</v>
      </c>
      <c r="T118" s="5">
        <v>2023</v>
      </c>
    </row>
    <row r="119" spans="1:20" ht="409.6" x14ac:dyDescent="0.4">
      <c r="A119" s="4" t="s">
        <v>591</v>
      </c>
      <c r="B119" s="5" t="s">
        <v>16</v>
      </c>
      <c r="C119" s="5" t="s">
        <v>17</v>
      </c>
      <c r="D119" s="5" t="s">
        <v>18</v>
      </c>
      <c r="E119" s="6">
        <v>45145</v>
      </c>
      <c r="F119" s="6">
        <v>45180</v>
      </c>
      <c r="G119" s="5" t="s">
        <v>19</v>
      </c>
      <c r="H119" s="4" t="s">
        <v>592</v>
      </c>
      <c r="I119" s="4" t="s">
        <v>593</v>
      </c>
      <c r="J119" s="4" t="s">
        <v>594</v>
      </c>
      <c r="K119" s="8"/>
      <c r="L119" s="8"/>
      <c r="M119" s="8"/>
      <c r="N119" s="8"/>
      <c r="O119" s="8"/>
      <c r="P119" s="4" t="s">
        <v>595</v>
      </c>
      <c r="Q119" s="5">
        <v>20240125</v>
      </c>
      <c r="R119" s="5" t="s">
        <v>17</v>
      </c>
      <c r="S119" s="5" t="s">
        <v>17</v>
      </c>
      <c r="T119" s="5">
        <v>2023</v>
      </c>
    </row>
    <row r="120" spans="1:20" ht="204" x14ac:dyDescent="0.4">
      <c r="A120" s="4" t="s">
        <v>596</v>
      </c>
      <c r="B120" s="5" t="s">
        <v>16</v>
      </c>
      <c r="C120" s="5" t="s">
        <v>17</v>
      </c>
      <c r="D120" s="5" t="s">
        <v>18</v>
      </c>
      <c r="E120" s="6">
        <v>45171</v>
      </c>
      <c r="F120" s="6">
        <v>45203</v>
      </c>
      <c r="G120" s="5" t="s">
        <v>19</v>
      </c>
      <c r="H120" s="4" t="s">
        <v>597</v>
      </c>
      <c r="I120" s="4" t="s">
        <v>598</v>
      </c>
      <c r="J120" s="4" t="s">
        <v>599</v>
      </c>
      <c r="K120" s="9"/>
      <c r="L120" s="9"/>
      <c r="M120" s="9"/>
      <c r="N120" s="9"/>
      <c r="O120" s="9"/>
      <c r="P120" s="4" t="s">
        <v>600</v>
      </c>
      <c r="Q120" s="5">
        <v>20240126</v>
      </c>
      <c r="R120" s="5" t="s">
        <v>17</v>
      </c>
      <c r="S120" s="5" t="s">
        <v>17</v>
      </c>
      <c r="T120" s="5">
        <v>2023</v>
      </c>
    </row>
    <row r="121" spans="1:20" ht="262.3" x14ac:dyDescent="0.4">
      <c r="A121" s="4" t="s">
        <v>601</v>
      </c>
      <c r="B121" s="5" t="s">
        <v>16</v>
      </c>
      <c r="C121" s="5" t="s">
        <v>17</v>
      </c>
      <c r="D121" s="5" t="s">
        <v>18</v>
      </c>
      <c r="E121" s="6">
        <v>45177</v>
      </c>
      <c r="F121" s="6">
        <v>45264</v>
      </c>
      <c r="G121" s="5" t="s">
        <v>19</v>
      </c>
      <c r="H121" s="4" t="s">
        <v>602</v>
      </c>
      <c r="I121" s="4" t="s">
        <v>603</v>
      </c>
      <c r="J121" s="4" t="s">
        <v>604</v>
      </c>
      <c r="K121" s="8"/>
      <c r="L121" s="8"/>
      <c r="M121" s="8"/>
      <c r="N121" s="8"/>
      <c r="O121" s="8"/>
      <c r="P121" s="4" t="s">
        <v>605</v>
      </c>
      <c r="Q121" s="5">
        <v>20240126</v>
      </c>
      <c r="R121" s="5" t="s">
        <v>17</v>
      </c>
      <c r="S121" s="5" t="s">
        <v>17</v>
      </c>
      <c r="T121" s="5">
        <v>2023</v>
      </c>
    </row>
    <row r="122" spans="1:20" ht="218.6" x14ac:dyDescent="0.4">
      <c r="A122" s="4" t="s">
        <v>606</v>
      </c>
      <c r="B122" s="5" t="s">
        <v>16</v>
      </c>
      <c r="C122" s="5" t="s">
        <v>17</v>
      </c>
      <c r="D122" s="5" t="s">
        <v>18</v>
      </c>
      <c r="E122" s="6">
        <v>45174</v>
      </c>
      <c r="F122" s="6">
        <v>45210</v>
      </c>
      <c r="G122" s="5" t="s">
        <v>19</v>
      </c>
      <c r="H122" s="4" t="s">
        <v>607</v>
      </c>
      <c r="I122" s="5" t="s">
        <v>608</v>
      </c>
      <c r="J122" s="4" t="s">
        <v>609</v>
      </c>
      <c r="K122" s="9"/>
      <c r="L122" s="9"/>
      <c r="M122" s="9"/>
      <c r="N122" s="9"/>
      <c r="O122" s="9"/>
      <c r="P122" s="4" t="s">
        <v>610</v>
      </c>
      <c r="Q122" s="5">
        <v>20240126</v>
      </c>
      <c r="R122" s="5" t="s">
        <v>17</v>
      </c>
      <c r="S122" s="5" t="s">
        <v>17</v>
      </c>
      <c r="T122" s="5">
        <v>2023</v>
      </c>
    </row>
    <row r="123" spans="1:20" ht="276.89999999999998" x14ac:dyDescent="0.4">
      <c r="A123" s="4" t="s">
        <v>611</v>
      </c>
      <c r="B123" s="5" t="s">
        <v>16</v>
      </c>
      <c r="C123" s="5" t="s">
        <v>17</v>
      </c>
      <c r="D123" s="5" t="s">
        <v>18</v>
      </c>
      <c r="E123" s="6">
        <v>45181</v>
      </c>
      <c r="F123" s="6">
        <v>45191</v>
      </c>
      <c r="G123" s="5" t="s">
        <v>19</v>
      </c>
      <c r="H123" s="4" t="s">
        <v>612</v>
      </c>
      <c r="I123" s="4" t="s">
        <v>613</v>
      </c>
      <c r="J123" s="4" t="s">
        <v>614</v>
      </c>
      <c r="K123" s="8"/>
      <c r="L123" s="8"/>
      <c r="M123" s="8"/>
      <c r="N123" s="8"/>
      <c r="O123" s="8"/>
      <c r="P123" s="4" t="s">
        <v>615</v>
      </c>
      <c r="Q123" s="5">
        <v>20240126</v>
      </c>
      <c r="R123" s="5" t="s">
        <v>17</v>
      </c>
      <c r="S123" s="5" t="s">
        <v>17</v>
      </c>
      <c r="T123" s="5">
        <v>2023</v>
      </c>
    </row>
    <row r="124" spans="1:20" ht="409.6" x14ac:dyDescent="0.4">
      <c r="A124" s="4" t="s">
        <v>616</v>
      </c>
      <c r="B124" s="5" t="s">
        <v>16</v>
      </c>
      <c r="C124" s="5" t="s">
        <v>17</v>
      </c>
      <c r="D124" s="5" t="s">
        <v>18</v>
      </c>
      <c r="E124" s="6">
        <v>45179</v>
      </c>
      <c r="F124" s="6">
        <v>45225</v>
      </c>
      <c r="G124" s="5" t="s">
        <v>19</v>
      </c>
      <c r="H124" s="4" t="s">
        <v>617</v>
      </c>
      <c r="I124" s="5" t="s">
        <v>618</v>
      </c>
      <c r="J124" s="4" t="s">
        <v>619</v>
      </c>
      <c r="K124" s="9"/>
      <c r="L124" s="9"/>
      <c r="M124" s="9"/>
      <c r="N124" s="9"/>
      <c r="O124" s="9"/>
      <c r="P124" s="4" t="s">
        <v>620</v>
      </c>
      <c r="Q124" s="5">
        <v>20240126</v>
      </c>
      <c r="R124" s="5" t="s">
        <v>17</v>
      </c>
      <c r="S124" s="5" t="s">
        <v>17</v>
      </c>
      <c r="T124" s="5">
        <v>2023</v>
      </c>
    </row>
    <row r="125" spans="1:20" ht="276.89999999999998" x14ac:dyDescent="0.4">
      <c r="A125" s="4" t="s">
        <v>621</v>
      </c>
      <c r="B125" s="5" t="s">
        <v>16</v>
      </c>
      <c r="C125" s="5" t="s">
        <v>17</v>
      </c>
      <c r="D125" s="5" t="s">
        <v>18</v>
      </c>
      <c r="E125" s="6">
        <v>45190</v>
      </c>
      <c r="F125" s="6">
        <v>45205</v>
      </c>
      <c r="G125" s="5" t="s">
        <v>19</v>
      </c>
      <c r="H125" s="4" t="s">
        <v>622</v>
      </c>
      <c r="I125" s="4" t="s">
        <v>623</v>
      </c>
      <c r="J125" s="4" t="s">
        <v>624</v>
      </c>
      <c r="K125" s="9"/>
      <c r="L125" s="9"/>
      <c r="M125" s="9"/>
      <c r="N125" s="9"/>
      <c r="O125" s="9"/>
      <c r="P125" s="4" t="s">
        <v>625</v>
      </c>
      <c r="Q125" s="5">
        <v>20240126</v>
      </c>
      <c r="R125" s="5" t="s">
        <v>17</v>
      </c>
      <c r="S125" s="5" t="s">
        <v>17</v>
      </c>
      <c r="T125" s="5">
        <v>2023</v>
      </c>
    </row>
    <row r="126" spans="1:20" ht="409.6" x14ac:dyDescent="0.4">
      <c r="A126" s="4" t="s">
        <v>626</v>
      </c>
      <c r="B126" s="5" t="s">
        <v>16</v>
      </c>
      <c r="C126" s="5" t="s">
        <v>17</v>
      </c>
      <c r="D126" s="5" t="s">
        <v>18</v>
      </c>
      <c r="E126" s="6">
        <v>45188</v>
      </c>
      <c r="F126" s="6">
        <v>45218</v>
      </c>
      <c r="G126" s="5" t="s">
        <v>19</v>
      </c>
      <c r="H126" s="4" t="s">
        <v>627</v>
      </c>
      <c r="I126" s="4" t="s">
        <v>628</v>
      </c>
      <c r="J126" s="4" t="s">
        <v>629</v>
      </c>
      <c r="K126" s="8"/>
      <c r="L126" s="8"/>
      <c r="M126" s="8"/>
      <c r="N126" s="8"/>
      <c r="O126" s="8"/>
      <c r="P126" s="4" t="s">
        <v>630</v>
      </c>
      <c r="Q126" s="5">
        <v>20240126</v>
      </c>
      <c r="R126" s="5" t="s">
        <v>17</v>
      </c>
      <c r="S126" s="5" t="s">
        <v>17</v>
      </c>
      <c r="T126" s="5">
        <v>2023</v>
      </c>
    </row>
    <row r="127" spans="1:20" ht="409.6" x14ac:dyDescent="0.4">
      <c r="A127" s="4" t="s">
        <v>631</v>
      </c>
      <c r="B127" s="5" t="s">
        <v>16</v>
      </c>
      <c r="C127" s="5" t="s">
        <v>17</v>
      </c>
      <c r="D127" s="5" t="s">
        <v>18</v>
      </c>
      <c r="E127" s="6">
        <v>45187</v>
      </c>
      <c r="F127" s="6">
        <v>45239</v>
      </c>
      <c r="G127" s="5" t="s">
        <v>19</v>
      </c>
      <c r="H127" s="4" t="s">
        <v>632</v>
      </c>
      <c r="I127" s="4" t="s">
        <v>633</v>
      </c>
      <c r="J127" s="4" t="s">
        <v>634</v>
      </c>
      <c r="K127" s="8"/>
      <c r="L127" s="8"/>
      <c r="M127" s="8"/>
      <c r="N127" s="8"/>
      <c r="O127" s="8"/>
      <c r="P127" s="4" t="s">
        <v>635</v>
      </c>
      <c r="Q127" s="5">
        <v>20240126</v>
      </c>
      <c r="R127" s="5" t="s">
        <v>17</v>
      </c>
      <c r="S127" s="5" t="s">
        <v>17</v>
      </c>
      <c r="T127" s="5">
        <v>2023</v>
      </c>
    </row>
    <row r="128" spans="1:20" ht="409.6" x14ac:dyDescent="0.4">
      <c r="A128" s="4" t="s">
        <v>636</v>
      </c>
      <c r="B128" s="5" t="s">
        <v>16</v>
      </c>
      <c r="C128" s="5" t="s">
        <v>17</v>
      </c>
      <c r="D128" s="5" t="s">
        <v>18</v>
      </c>
      <c r="E128" s="6">
        <v>45210</v>
      </c>
      <c r="F128" s="6">
        <v>45244</v>
      </c>
      <c r="G128" s="5" t="s">
        <v>19</v>
      </c>
      <c r="H128" s="4" t="s">
        <v>637</v>
      </c>
      <c r="I128" s="4" t="s">
        <v>638</v>
      </c>
      <c r="J128" s="4" t="s">
        <v>639</v>
      </c>
      <c r="K128" s="8"/>
      <c r="L128" s="8"/>
      <c r="M128" s="8"/>
      <c r="N128" s="8"/>
      <c r="O128" s="8"/>
      <c r="P128" s="4" t="s">
        <v>640</v>
      </c>
      <c r="Q128" s="5">
        <v>20240126</v>
      </c>
      <c r="R128" s="5" t="s">
        <v>17</v>
      </c>
      <c r="S128" s="5" t="s">
        <v>17</v>
      </c>
      <c r="T128" s="5">
        <v>2023</v>
      </c>
    </row>
    <row r="129" spans="1:20" ht="409.6" x14ac:dyDescent="0.4">
      <c r="A129" s="4" t="s">
        <v>641</v>
      </c>
      <c r="B129" s="5" t="s">
        <v>16</v>
      </c>
      <c r="C129" s="5" t="s">
        <v>17</v>
      </c>
      <c r="D129" s="5" t="s">
        <v>18</v>
      </c>
      <c r="E129" s="6">
        <v>45216</v>
      </c>
      <c r="F129" s="6">
        <v>45244</v>
      </c>
      <c r="G129" s="5" t="s">
        <v>19</v>
      </c>
      <c r="H129" s="4" t="s">
        <v>642</v>
      </c>
      <c r="I129" s="4" t="s">
        <v>643</v>
      </c>
      <c r="J129" s="4" t="s">
        <v>644</v>
      </c>
      <c r="K129" s="9"/>
      <c r="L129" s="9"/>
      <c r="M129" s="9"/>
      <c r="N129" s="9"/>
      <c r="O129" s="9"/>
      <c r="P129" s="4" t="s">
        <v>645</v>
      </c>
      <c r="Q129" s="5">
        <v>20240126</v>
      </c>
      <c r="R129" s="5" t="s">
        <v>17</v>
      </c>
      <c r="S129" s="5" t="s">
        <v>17</v>
      </c>
      <c r="T129" s="5">
        <v>2023</v>
      </c>
    </row>
    <row r="130" spans="1:20" ht="378.9" x14ac:dyDescent="0.4">
      <c r="A130" s="4" t="s">
        <v>646</v>
      </c>
      <c r="B130" s="5" t="s">
        <v>16</v>
      </c>
      <c r="C130" s="5" t="s">
        <v>17</v>
      </c>
      <c r="D130" s="5" t="s">
        <v>18</v>
      </c>
      <c r="E130" s="6">
        <v>45215</v>
      </c>
      <c r="F130" s="6">
        <v>45302</v>
      </c>
      <c r="G130" s="5" t="s">
        <v>19</v>
      </c>
      <c r="H130" s="4" t="s">
        <v>647</v>
      </c>
      <c r="I130" s="4" t="s">
        <v>648</v>
      </c>
      <c r="J130" s="4" t="s">
        <v>649</v>
      </c>
      <c r="K130" s="8"/>
      <c r="L130" s="8"/>
      <c r="M130" s="8"/>
      <c r="N130" s="8"/>
      <c r="O130" s="8"/>
      <c r="P130" s="4" t="s">
        <v>650</v>
      </c>
      <c r="Q130" s="5">
        <v>20240126</v>
      </c>
      <c r="R130" s="5" t="s">
        <v>17</v>
      </c>
      <c r="S130" s="5" t="s">
        <v>17</v>
      </c>
      <c r="T130" s="5">
        <v>2023</v>
      </c>
    </row>
    <row r="131" spans="1:20" ht="276.89999999999998" x14ac:dyDescent="0.4">
      <c r="A131" s="4" t="s">
        <v>651</v>
      </c>
      <c r="B131" s="5" t="s">
        <v>16</v>
      </c>
      <c r="C131" s="5" t="s">
        <v>652</v>
      </c>
      <c r="D131" s="5" t="s">
        <v>18</v>
      </c>
      <c r="E131" s="6">
        <v>45239</v>
      </c>
      <c r="F131" s="6">
        <v>45244</v>
      </c>
      <c r="G131" s="5" t="s">
        <v>19</v>
      </c>
      <c r="H131" s="4" t="s">
        <v>653</v>
      </c>
      <c r="I131" s="4" t="s">
        <v>654</v>
      </c>
      <c r="J131" s="4" t="s">
        <v>655</v>
      </c>
      <c r="K131" s="9"/>
      <c r="L131" s="9"/>
      <c r="M131" s="9"/>
      <c r="N131" s="9"/>
      <c r="O131" s="9"/>
      <c r="P131" s="4" t="s">
        <v>656</v>
      </c>
      <c r="Q131" s="5">
        <v>20240126</v>
      </c>
      <c r="R131" s="5" t="s">
        <v>17</v>
      </c>
      <c r="S131" s="5" t="s">
        <v>17</v>
      </c>
      <c r="T131" s="5">
        <v>2023</v>
      </c>
    </row>
    <row r="132" spans="1:20" ht="364.3" x14ac:dyDescent="0.4">
      <c r="A132" s="4" t="s">
        <v>657</v>
      </c>
      <c r="B132" s="5" t="s">
        <v>16</v>
      </c>
      <c r="C132" s="5" t="s">
        <v>17</v>
      </c>
      <c r="D132" s="5" t="s">
        <v>18</v>
      </c>
      <c r="E132" s="6">
        <v>45275</v>
      </c>
      <c r="F132" s="6">
        <v>45300</v>
      </c>
      <c r="G132" s="5" t="s">
        <v>19</v>
      </c>
      <c r="H132" s="4" t="s">
        <v>658</v>
      </c>
      <c r="I132" s="5" t="s">
        <v>659</v>
      </c>
      <c r="J132" s="4" t="s">
        <v>660</v>
      </c>
      <c r="K132" s="8"/>
      <c r="L132" s="8"/>
      <c r="M132" s="8"/>
      <c r="N132" s="8"/>
      <c r="O132" s="8"/>
      <c r="P132" s="4" t="s">
        <v>661</v>
      </c>
      <c r="Q132" s="5">
        <v>20240126</v>
      </c>
      <c r="R132" s="5" t="s">
        <v>17</v>
      </c>
      <c r="S132" s="5" t="s">
        <v>17</v>
      </c>
      <c r="T132" s="5">
        <v>2023</v>
      </c>
    </row>
    <row r="133" spans="1:20" ht="306" x14ac:dyDescent="0.4">
      <c r="A133" s="4" t="s">
        <v>662</v>
      </c>
      <c r="B133" s="5" t="s">
        <v>16</v>
      </c>
      <c r="C133" s="5" t="s">
        <v>663</v>
      </c>
      <c r="D133" s="5" t="s">
        <v>18</v>
      </c>
      <c r="E133" s="6">
        <v>45275</v>
      </c>
      <c r="F133" s="6">
        <v>45307</v>
      </c>
      <c r="G133" s="5" t="s">
        <v>19</v>
      </c>
      <c r="H133" s="4" t="s">
        <v>664</v>
      </c>
      <c r="I133" s="4" t="s">
        <v>665</v>
      </c>
      <c r="J133" s="4" t="s">
        <v>666</v>
      </c>
      <c r="K133" s="8"/>
      <c r="L133" s="8"/>
      <c r="M133" s="8"/>
      <c r="N133" s="8"/>
      <c r="O133" s="8"/>
      <c r="P133" s="4" t="s">
        <v>667</v>
      </c>
      <c r="Q133" s="5">
        <v>20240126</v>
      </c>
      <c r="R133" s="5" t="s">
        <v>17</v>
      </c>
      <c r="S133" s="5" t="s">
        <v>17</v>
      </c>
      <c r="T133" s="5">
        <v>2023</v>
      </c>
    </row>
    <row r="134" spans="1:20" ht="306" x14ac:dyDescent="0.4">
      <c r="A134" s="4" t="s">
        <v>668</v>
      </c>
      <c r="B134" s="5" t="s">
        <v>16</v>
      </c>
      <c r="C134" s="5" t="s">
        <v>17</v>
      </c>
      <c r="D134" s="5" t="s">
        <v>18</v>
      </c>
      <c r="E134" s="6">
        <v>45283</v>
      </c>
      <c r="F134" s="6">
        <v>45317</v>
      </c>
      <c r="G134" s="5" t="s">
        <v>19</v>
      </c>
      <c r="H134" s="4" t="s">
        <v>669</v>
      </c>
      <c r="I134" s="4" t="s">
        <v>670</v>
      </c>
      <c r="J134" s="4" t="s">
        <v>671</v>
      </c>
      <c r="K134" s="8"/>
      <c r="L134" s="8"/>
      <c r="M134" s="8"/>
      <c r="N134" s="8"/>
      <c r="O134" s="8"/>
      <c r="P134" s="4" t="s">
        <v>672</v>
      </c>
      <c r="Q134" s="5">
        <v>20240126</v>
      </c>
      <c r="R134" s="5" t="s">
        <v>17</v>
      </c>
      <c r="S134" s="5" t="s">
        <v>17</v>
      </c>
      <c r="T134" s="5">
        <v>2023</v>
      </c>
    </row>
    <row r="135" spans="1:20" ht="247.75" x14ac:dyDescent="0.4">
      <c r="A135" s="4" t="s">
        <v>673</v>
      </c>
      <c r="B135" s="5" t="s">
        <v>16</v>
      </c>
      <c r="C135" s="5" t="s">
        <v>17</v>
      </c>
      <c r="D135" s="5" t="s">
        <v>18</v>
      </c>
      <c r="E135" s="6">
        <v>45297</v>
      </c>
      <c r="F135" s="6">
        <v>45420</v>
      </c>
      <c r="G135" s="5" t="s">
        <v>19</v>
      </c>
      <c r="H135" s="4" t="e">
        <f>- 아파트에 거주하다 보면 아이들 소음으로 인해 층간소음도 많고 부모들도 상당히 고통을 받는것 같습니다.
  특히 아이들 성장에도 많은 제약이 있다보니 성장이나 성격등에 문제가 있기도 합니다.
  또한 아파트네 공동육아시설이 많이 업다보니 부모들이 출근 시 아이들을 육아시설에 데러다 주고 데려 오고
  이것또한 어려움이 있는것 같습니다..
  또는 아이들이 아프면 대처에도 어려움이 있는것 같습니다.</f>
        <v>#NAME?</v>
      </c>
      <c r="I135" s="4" t="s">
        <v>674</v>
      </c>
      <c r="J135" s="4" t="e">
        <f>- 인구절벽의 시대에..집에서 만큼 아이들이 뛰어 놀고 부모들에게 국가에서 책임지고 공동육아를 하는
   시스템을 제공합니다.</f>
        <v>#NAME?</v>
      </c>
      <c r="K135" s="9">
        <v>0</v>
      </c>
      <c r="L135" s="9">
        <v>0</v>
      </c>
      <c r="M135" s="9">
        <v>0</v>
      </c>
      <c r="N135" s="9">
        <v>0</v>
      </c>
      <c r="O135" s="9">
        <v>1</v>
      </c>
      <c r="P135" s="4" t="s">
        <v>675</v>
      </c>
      <c r="Q135" s="5">
        <v>20241125</v>
      </c>
      <c r="R135" s="5" t="s">
        <v>17</v>
      </c>
      <c r="S135" s="5" t="s">
        <v>17</v>
      </c>
      <c r="T135" s="5">
        <v>2024</v>
      </c>
    </row>
    <row r="136" spans="1:20" ht="409.6" x14ac:dyDescent="0.4">
      <c r="A136" s="4" t="s">
        <v>676</v>
      </c>
      <c r="B136" s="5" t="s">
        <v>16</v>
      </c>
      <c r="C136" s="5" t="s">
        <v>17</v>
      </c>
      <c r="D136" s="5" t="s">
        <v>18</v>
      </c>
      <c r="E136" s="6">
        <v>45296</v>
      </c>
      <c r="F136" s="6">
        <v>45329</v>
      </c>
      <c r="G136" s="5" t="s">
        <v>19</v>
      </c>
      <c r="H136" s="4" t="s">
        <v>677</v>
      </c>
      <c r="I136" s="4" t="s">
        <v>678</v>
      </c>
      <c r="J136" s="4" t="e">
        <f>-출산률이 오르게된다.
-그리고 정부에 감사하게된다.
                                                                                                                                                                                                                                                                _집대책등 육아휴직에 소요되는 비용보다 위의 부분이 더중요합니다.</f>
        <v>#NAME?</v>
      </c>
      <c r="K136" s="9">
        <v>1</v>
      </c>
      <c r="L136" s="9">
        <v>0</v>
      </c>
      <c r="M136" s="9">
        <v>0</v>
      </c>
      <c r="N136" s="9">
        <v>1</v>
      </c>
      <c r="O136" s="9">
        <v>1</v>
      </c>
      <c r="P136" s="4" t="s">
        <v>679</v>
      </c>
      <c r="Q136" s="5">
        <v>20241125</v>
      </c>
      <c r="R136" s="5" t="s">
        <v>17</v>
      </c>
      <c r="S136" s="5" t="s">
        <v>17</v>
      </c>
      <c r="T136" s="5">
        <v>2024</v>
      </c>
    </row>
    <row r="137" spans="1:20" ht="335.15" x14ac:dyDescent="0.4">
      <c r="A137" s="4" t="s">
        <v>680</v>
      </c>
      <c r="B137" s="5" t="s">
        <v>16</v>
      </c>
      <c r="C137" s="5" t="s">
        <v>17</v>
      </c>
      <c r="D137" s="5" t="s">
        <v>18</v>
      </c>
      <c r="E137" s="6">
        <v>45295</v>
      </c>
      <c r="F137" s="6">
        <v>45358</v>
      </c>
      <c r="G137" s="5" t="s">
        <v>19</v>
      </c>
      <c r="H137" s="4" t="s">
        <v>681</v>
      </c>
      <c r="I137" s="4" t="s">
        <v>682</v>
      </c>
      <c r="J137" s="4" t="s">
        <v>683</v>
      </c>
      <c r="K137" s="8">
        <v>0</v>
      </c>
      <c r="L137" s="8">
        <v>0</v>
      </c>
      <c r="M137" s="8">
        <v>0</v>
      </c>
      <c r="N137" s="8">
        <v>0</v>
      </c>
      <c r="O137" s="8">
        <v>0</v>
      </c>
      <c r="P137" s="4" t="s">
        <v>684</v>
      </c>
      <c r="Q137" s="5">
        <v>20241125</v>
      </c>
      <c r="R137" s="5" t="s">
        <v>17</v>
      </c>
      <c r="S137" s="5" t="s">
        <v>17</v>
      </c>
      <c r="T137" s="5">
        <v>2024</v>
      </c>
    </row>
    <row r="138" spans="1:20" ht="409.6" x14ac:dyDescent="0.4">
      <c r="A138" s="4" t="s">
        <v>685</v>
      </c>
      <c r="B138" s="5" t="s">
        <v>16</v>
      </c>
      <c r="C138" s="5" t="s">
        <v>17</v>
      </c>
      <c r="D138" s="5" t="s">
        <v>18</v>
      </c>
      <c r="E138" s="6">
        <v>45303</v>
      </c>
      <c r="F138" s="6">
        <v>45365</v>
      </c>
      <c r="G138" s="5" t="s">
        <v>19</v>
      </c>
      <c r="H138" s="4" t="s">
        <v>686</v>
      </c>
      <c r="I138" s="4" t="s">
        <v>687</v>
      </c>
      <c r="J138" s="4" t="s">
        <v>688</v>
      </c>
      <c r="K138" s="8">
        <v>0</v>
      </c>
      <c r="L138" s="8">
        <v>0</v>
      </c>
      <c r="M138" s="8">
        <v>1</v>
      </c>
      <c r="N138" s="8">
        <v>0</v>
      </c>
      <c r="O138" s="8">
        <v>1</v>
      </c>
      <c r="P138" s="4" t="s">
        <v>689</v>
      </c>
      <c r="Q138" s="5">
        <v>20241125</v>
      </c>
      <c r="R138" s="5" t="s">
        <v>17</v>
      </c>
      <c r="S138" s="5" t="s">
        <v>17</v>
      </c>
      <c r="T138" s="5">
        <v>2024</v>
      </c>
    </row>
    <row r="139" spans="1:20" ht="276.89999999999998" x14ac:dyDescent="0.4">
      <c r="A139" s="4" t="s">
        <v>690</v>
      </c>
      <c r="B139" s="5" t="s">
        <v>16</v>
      </c>
      <c r="C139" s="5" t="s">
        <v>17</v>
      </c>
      <c r="D139" s="5" t="s">
        <v>18</v>
      </c>
      <c r="E139" s="6">
        <v>45303</v>
      </c>
      <c r="F139" s="6">
        <v>45317</v>
      </c>
      <c r="G139" s="5" t="s">
        <v>19</v>
      </c>
      <c r="H139" s="4" t="s">
        <v>691</v>
      </c>
      <c r="I139" s="4" t="s">
        <v>692</v>
      </c>
      <c r="J139" s="4" t="e">
        <f>- 자녀 출산에 대한 동기부여
- 출생한 자녀의 노후 부모 봉양에 대한 부담감 감소로 사회 안전망 구축
- 자녀 출생을 통해 노후 안락한 여가생활 기여
- 국가 소멸에 대한 위험요소 감소
- 출산에 기여한 부모에 대해서는 국가가 책임진다는 믿음을 심어줌
- 출산을 기피한 젊은세대의 마인드 전환의 기회부여
- 이민등의 인구증가 대책보다는 자국민 지원으로 정책의 효율성 증가</f>
        <v>#NAME?</v>
      </c>
      <c r="K139" s="9">
        <v>0</v>
      </c>
      <c r="L139" s="9">
        <v>0</v>
      </c>
      <c r="M139" s="9">
        <v>0</v>
      </c>
      <c r="N139" s="9">
        <v>0</v>
      </c>
      <c r="O139" s="9">
        <v>0</v>
      </c>
      <c r="P139" s="4" t="s">
        <v>693</v>
      </c>
      <c r="Q139" s="5">
        <v>20241125</v>
      </c>
      <c r="R139" s="5" t="s">
        <v>17</v>
      </c>
      <c r="S139" s="5" t="s">
        <v>17</v>
      </c>
      <c r="T139" s="5">
        <v>2024</v>
      </c>
    </row>
    <row r="140" spans="1:20" ht="204" x14ac:dyDescent="0.4">
      <c r="A140" s="4" t="s">
        <v>694</v>
      </c>
      <c r="B140" s="5" t="s">
        <v>16</v>
      </c>
      <c r="C140" s="5" t="s">
        <v>17</v>
      </c>
      <c r="D140" s="5" t="s">
        <v>18</v>
      </c>
      <c r="E140" s="6">
        <v>45301</v>
      </c>
      <c r="F140" s="6">
        <v>45345</v>
      </c>
      <c r="G140" s="5" t="s">
        <v>19</v>
      </c>
      <c r="H140" s="4" t="s">
        <v>695</v>
      </c>
      <c r="I140" s="5" t="s">
        <v>696</v>
      </c>
      <c r="J140" s="4" t="s">
        <v>697</v>
      </c>
      <c r="K140" s="9">
        <v>0</v>
      </c>
      <c r="L140" s="9">
        <v>0</v>
      </c>
      <c r="M140" s="9">
        <v>1</v>
      </c>
      <c r="N140" s="9">
        <v>1</v>
      </c>
      <c r="O140" s="9">
        <v>1</v>
      </c>
      <c r="P140" s="4" t="s">
        <v>698</v>
      </c>
      <c r="Q140" s="5">
        <v>20241125</v>
      </c>
      <c r="R140" s="5" t="s">
        <v>17</v>
      </c>
      <c r="S140" s="5" t="s">
        <v>17</v>
      </c>
      <c r="T140" s="5">
        <v>2024</v>
      </c>
    </row>
    <row r="141" spans="1:20" ht="335.15" x14ac:dyDescent="0.4">
      <c r="A141" s="4" t="s">
        <v>699</v>
      </c>
      <c r="B141" s="5" t="s">
        <v>16</v>
      </c>
      <c r="C141" s="5" t="s">
        <v>17</v>
      </c>
      <c r="D141" s="5" t="s">
        <v>18</v>
      </c>
      <c r="E141" s="6">
        <v>45301</v>
      </c>
      <c r="F141" s="6">
        <v>45315</v>
      </c>
      <c r="G141" s="5" t="s">
        <v>19</v>
      </c>
      <c r="H141" s="4" t="s">
        <v>700</v>
      </c>
      <c r="I141" s="5" t="s">
        <v>701</v>
      </c>
      <c r="J141" s="4" t="s">
        <v>702</v>
      </c>
      <c r="K141" s="9">
        <v>1</v>
      </c>
      <c r="L141" s="9">
        <v>0</v>
      </c>
      <c r="M141" s="9">
        <v>0</v>
      </c>
      <c r="N141" s="9">
        <v>0</v>
      </c>
      <c r="O141" s="9">
        <v>0</v>
      </c>
      <c r="P141" s="4" t="s">
        <v>703</v>
      </c>
      <c r="Q141" s="5">
        <v>20241125</v>
      </c>
      <c r="R141" s="5" t="s">
        <v>17</v>
      </c>
      <c r="S141" s="5" t="s">
        <v>17</v>
      </c>
      <c r="T141" s="5">
        <v>2024</v>
      </c>
    </row>
    <row r="142" spans="1:20" ht="409.6" x14ac:dyDescent="0.4">
      <c r="A142" s="4" t="s">
        <v>470</v>
      </c>
      <c r="B142" s="5" t="s">
        <v>16</v>
      </c>
      <c r="C142" s="5" t="s">
        <v>17</v>
      </c>
      <c r="D142" s="5" t="s">
        <v>18</v>
      </c>
      <c r="E142" s="6">
        <v>45312</v>
      </c>
      <c r="F142" s="6">
        <v>45372</v>
      </c>
      <c r="G142" s="5" t="s">
        <v>19</v>
      </c>
      <c r="H142" s="4" t="s">
        <v>704</v>
      </c>
      <c r="I142" s="4" t="s">
        <v>705</v>
      </c>
      <c r="J142" s="4" t="s">
        <v>706</v>
      </c>
      <c r="K142" s="8">
        <v>0</v>
      </c>
      <c r="L142" s="8">
        <v>0</v>
      </c>
      <c r="M142" s="8">
        <v>0</v>
      </c>
      <c r="N142" s="8">
        <v>0</v>
      </c>
      <c r="O142" s="8">
        <v>0</v>
      </c>
      <c r="P142" s="4" t="s">
        <v>707</v>
      </c>
      <c r="Q142" s="5">
        <v>20241125</v>
      </c>
      <c r="R142" s="5" t="s">
        <v>17</v>
      </c>
      <c r="S142" s="5" t="s">
        <v>17</v>
      </c>
      <c r="T142" s="5">
        <v>2024</v>
      </c>
    </row>
    <row r="143" spans="1:20" ht="378.9" x14ac:dyDescent="0.4">
      <c r="A143" s="4" t="s">
        <v>708</v>
      </c>
      <c r="B143" s="5" t="s">
        <v>16</v>
      </c>
      <c r="C143" s="5" t="s">
        <v>17</v>
      </c>
      <c r="D143" s="5" t="s">
        <v>18</v>
      </c>
      <c r="E143" s="6">
        <v>45307</v>
      </c>
      <c r="F143" s="6">
        <v>45329</v>
      </c>
      <c r="G143" s="5" t="s">
        <v>19</v>
      </c>
      <c r="H143" s="4" t="s">
        <v>709</v>
      </c>
      <c r="I143" s="4" t="s">
        <v>710</v>
      </c>
      <c r="J143" s="4" t="s">
        <v>711</v>
      </c>
      <c r="K143" s="8">
        <v>0</v>
      </c>
      <c r="L143" s="8">
        <v>0</v>
      </c>
      <c r="M143" s="8">
        <v>0</v>
      </c>
      <c r="N143" s="8">
        <v>1</v>
      </c>
      <c r="O143" s="8">
        <v>1</v>
      </c>
      <c r="P143" s="4" t="s">
        <v>712</v>
      </c>
      <c r="Q143" s="5">
        <v>20241125</v>
      </c>
      <c r="R143" s="5" t="s">
        <v>17</v>
      </c>
      <c r="S143" s="5" t="s">
        <v>17</v>
      </c>
      <c r="T143" s="5">
        <v>2024</v>
      </c>
    </row>
    <row r="144" spans="1:20" ht="306" x14ac:dyDescent="0.4">
      <c r="A144" s="4" t="s">
        <v>713</v>
      </c>
      <c r="B144" s="5" t="s">
        <v>16</v>
      </c>
      <c r="C144" s="5" t="s">
        <v>17</v>
      </c>
      <c r="D144" s="5" t="s">
        <v>18</v>
      </c>
      <c r="E144" s="6">
        <v>45325</v>
      </c>
      <c r="F144" s="6">
        <v>45342</v>
      </c>
      <c r="G144" s="5" t="s">
        <v>19</v>
      </c>
      <c r="H144" s="4" t="s">
        <v>714</v>
      </c>
      <c r="I144" s="4" t="s">
        <v>715</v>
      </c>
      <c r="J144" s="4" t="s">
        <v>716</v>
      </c>
      <c r="K144" s="8">
        <v>0</v>
      </c>
      <c r="L144" s="8">
        <v>0</v>
      </c>
      <c r="M144" s="8">
        <v>0</v>
      </c>
      <c r="N144" s="8">
        <v>0</v>
      </c>
      <c r="O144" s="8">
        <v>1</v>
      </c>
      <c r="P144" s="4" t="s">
        <v>717</v>
      </c>
      <c r="Q144" s="5">
        <v>20241125</v>
      </c>
      <c r="R144" s="5" t="s">
        <v>17</v>
      </c>
      <c r="S144" s="5" t="s">
        <v>17</v>
      </c>
      <c r="T144" s="5">
        <v>2024</v>
      </c>
    </row>
    <row r="145" spans="1:20" ht="320.60000000000002" x14ac:dyDescent="0.4">
      <c r="A145" s="4" t="s">
        <v>718</v>
      </c>
      <c r="B145" s="5" t="s">
        <v>16</v>
      </c>
      <c r="C145" s="5" t="s">
        <v>17</v>
      </c>
      <c r="D145" s="5" t="s">
        <v>18</v>
      </c>
      <c r="E145" s="6">
        <v>45324</v>
      </c>
      <c r="F145" s="6">
        <v>45329</v>
      </c>
      <c r="G145" s="5" t="s">
        <v>19</v>
      </c>
      <c r="H145" s="4" t="s">
        <v>719</v>
      </c>
      <c r="I145" s="5" t="s">
        <v>720</v>
      </c>
      <c r="J145" s="4" t="s">
        <v>721</v>
      </c>
      <c r="K145" s="9">
        <v>0</v>
      </c>
      <c r="L145" s="9">
        <v>0</v>
      </c>
      <c r="M145" s="9">
        <v>0</v>
      </c>
      <c r="N145" s="9">
        <v>0</v>
      </c>
      <c r="O145" s="9">
        <v>0</v>
      </c>
      <c r="P145" s="4" t="s">
        <v>722</v>
      </c>
      <c r="Q145" s="5">
        <v>20241125</v>
      </c>
      <c r="R145" s="5" t="s">
        <v>17</v>
      </c>
      <c r="S145" s="5" t="s">
        <v>17</v>
      </c>
      <c r="T145" s="5">
        <v>2024</v>
      </c>
    </row>
    <row r="146" spans="1:20" ht="409.6" x14ac:dyDescent="0.4">
      <c r="A146" s="4" t="s">
        <v>723</v>
      </c>
      <c r="B146" s="5" t="s">
        <v>16</v>
      </c>
      <c r="C146" s="5" t="s">
        <v>17</v>
      </c>
      <c r="D146" s="5" t="s">
        <v>18</v>
      </c>
      <c r="E146" s="6">
        <v>45323</v>
      </c>
      <c r="F146" s="6">
        <v>45336</v>
      </c>
      <c r="G146" s="5" t="s">
        <v>19</v>
      </c>
      <c r="H146" s="4" t="s">
        <v>724</v>
      </c>
      <c r="I146" s="4" t="s">
        <v>725</v>
      </c>
      <c r="J146" s="4" t="s">
        <v>726</v>
      </c>
      <c r="K146" s="8">
        <v>1</v>
      </c>
      <c r="L146" s="8">
        <v>0</v>
      </c>
      <c r="M146" s="8">
        <v>0</v>
      </c>
      <c r="N146" s="8">
        <v>0</v>
      </c>
      <c r="O146" s="8">
        <v>0</v>
      </c>
      <c r="P146" s="4" t="s">
        <v>727</v>
      </c>
      <c r="Q146" s="5">
        <v>20241125</v>
      </c>
      <c r="R146" s="5" t="s">
        <v>17</v>
      </c>
      <c r="S146" s="5" t="s">
        <v>17</v>
      </c>
      <c r="T146" s="5">
        <v>2024</v>
      </c>
    </row>
    <row r="147" spans="1:20" ht="262.3" x14ac:dyDescent="0.4">
      <c r="A147" s="4" t="s">
        <v>405</v>
      </c>
      <c r="B147" s="5" t="s">
        <v>16</v>
      </c>
      <c r="C147" s="5" t="s">
        <v>17</v>
      </c>
      <c r="D147" s="5" t="s">
        <v>18</v>
      </c>
      <c r="E147" s="6">
        <v>45321</v>
      </c>
      <c r="F147" s="6">
        <v>45335</v>
      </c>
      <c r="G147" s="5" t="s">
        <v>19</v>
      </c>
      <c r="H147" s="4" t="s">
        <v>728</v>
      </c>
      <c r="I147" s="4" t="s">
        <v>729</v>
      </c>
      <c r="J147" s="4" t="s">
        <v>730</v>
      </c>
      <c r="K147" s="9">
        <v>0</v>
      </c>
      <c r="L147" s="9">
        <v>0</v>
      </c>
      <c r="M147" s="9">
        <v>0</v>
      </c>
      <c r="N147" s="9">
        <v>0</v>
      </c>
      <c r="O147" s="9">
        <v>0</v>
      </c>
      <c r="P147" s="4" t="s">
        <v>731</v>
      </c>
      <c r="Q147" s="5">
        <v>20241125</v>
      </c>
      <c r="R147" s="5" t="s">
        <v>17</v>
      </c>
      <c r="S147" s="5" t="s">
        <v>17</v>
      </c>
      <c r="T147" s="5">
        <v>2024</v>
      </c>
    </row>
    <row r="148" spans="1:20" ht="306" x14ac:dyDescent="0.4">
      <c r="A148" s="4" t="s">
        <v>732</v>
      </c>
      <c r="B148" s="5" t="s">
        <v>16</v>
      </c>
      <c r="C148" s="5" t="s">
        <v>17</v>
      </c>
      <c r="D148" s="5" t="s">
        <v>18</v>
      </c>
      <c r="E148" s="6">
        <v>45321</v>
      </c>
      <c r="F148" s="6">
        <v>45342</v>
      </c>
      <c r="G148" s="5" t="s">
        <v>19</v>
      </c>
      <c r="H148" s="4" t="s">
        <v>733</v>
      </c>
      <c r="I148" s="5" t="s">
        <v>734</v>
      </c>
      <c r="J148" s="4" t="s">
        <v>735</v>
      </c>
      <c r="K148" s="9">
        <v>1</v>
      </c>
      <c r="L148" s="9">
        <v>0</v>
      </c>
      <c r="M148" s="9">
        <v>0</v>
      </c>
      <c r="N148" s="9">
        <v>0</v>
      </c>
      <c r="O148" s="9">
        <v>1</v>
      </c>
      <c r="P148" s="4" t="s">
        <v>736</v>
      </c>
      <c r="Q148" s="5">
        <v>20241125</v>
      </c>
      <c r="R148" s="5" t="s">
        <v>17</v>
      </c>
      <c r="S148" s="5" t="s">
        <v>17</v>
      </c>
      <c r="T148" s="5">
        <v>2024</v>
      </c>
    </row>
    <row r="149" spans="1:20" ht="409.6" x14ac:dyDescent="0.4">
      <c r="A149" s="4" t="s">
        <v>737</v>
      </c>
      <c r="B149" s="5" t="s">
        <v>16</v>
      </c>
      <c r="C149" s="5" t="s">
        <v>17</v>
      </c>
      <c r="D149" s="5" t="s">
        <v>18</v>
      </c>
      <c r="E149" s="6">
        <v>45320</v>
      </c>
      <c r="F149" s="6">
        <v>45355</v>
      </c>
      <c r="G149" s="5" t="s">
        <v>19</v>
      </c>
      <c r="H149" s="4" t="s">
        <v>738</v>
      </c>
      <c r="I149" s="4" t="s">
        <v>739</v>
      </c>
      <c r="J149" s="4" t="s">
        <v>740</v>
      </c>
      <c r="K149" s="8">
        <v>1</v>
      </c>
      <c r="L149" s="8">
        <v>1</v>
      </c>
      <c r="M149" s="8">
        <v>0</v>
      </c>
      <c r="N149" s="8">
        <v>0</v>
      </c>
      <c r="O149" s="8">
        <v>0</v>
      </c>
      <c r="P149" s="4" t="s">
        <v>741</v>
      </c>
      <c r="Q149" s="5">
        <v>20241125</v>
      </c>
      <c r="R149" s="5" t="s">
        <v>17</v>
      </c>
      <c r="S149" s="5" t="s">
        <v>17</v>
      </c>
      <c r="T149" s="5">
        <v>2024</v>
      </c>
    </row>
    <row r="150" spans="1:20" ht="378.9" x14ac:dyDescent="0.4">
      <c r="A150" s="4" t="s">
        <v>742</v>
      </c>
      <c r="B150" s="5" t="s">
        <v>16</v>
      </c>
      <c r="C150" s="5" t="s">
        <v>17</v>
      </c>
      <c r="D150" s="5" t="s">
        <v>18</v>
      </c>
      <c r="E150" s="6">
        <v>45329</v>
      </c>
      <c r="F150" s="6">
        <v>45366</v>
      </c>
      <c r="G150" s="5" t="s">
        <v>19</v>
      </c>
      <c r="H150" s="4" t="s">
        <v>743</v>
      </c>
      <c r="I150" s="4" t="s">
        <v>744</v>
      </c>
      <c r="J150" s="4" t="s">
        <v>745</v>
      </c>
      <c r="K150" s="8">
        <v>0</v>
      </c>
      <c r="L150" s="8">
        <v>0</v>
      </c>
      <c r="M150" s="8">
        <v>0</v>
      </c>
      <c r="N150" s="8">
        <v>0</v>
      </c>
      <c r="O150" s="8">
        <v>0</v>
      </c>
      <c r="P150" s="4" t="s">
        <v>746</v>
      </c>
      <c r="Q150" s="5">
        <v>20241125</v>
      </c>
      <c r="R150" s="5" t="s">
        <v>17</v>
      </c>
      <c r="S150" s="5" t="s">
        <v>17</v>
      </c>
      <c r="T150" s="5">
        <v>2024</v>
      </c>
    </row>
    <row r="151" spans="1:20" ht="409.6" x14ac:dyDescent="0.4">
      <c r="A151" s="4" t="s">
        <v>747</v>
      </c>
      <c r="B151" s="5" t="s">
        <v>16</v>
      </c>
      <c r="C151" s="5" t="s">
        <v>17</v>
      </c>
      <c r="D151" s="5" t="s">
        <v>18</v>
      </c>
      <c r="E151" s="6">
        <v>45340</v>
      </c>
      <c r="F151" s="6">
        <v>45373</v>
      </c>
      <c r="G151" s="5" t="s">
        <v>19</v>
      </c>
      <c r="H151" s="4" t="s">
        <v>748</v>
      </c>
      <c r="I151" s="4" t="s">
        <v>749</v>
      </c>
      <c r="J151" s="4" t="s">
        <v>750</v>
      </c>
      <c r="K151" s="8">
        <v>0</v>
      </c>
      <c r="L151" s="8">
        <v>1</v>
      </c>
      <c r="M151" s="8">
        <v>0</v>
      </c>
      <c r="N151" s="8">
        <v>0</v>
      </c>
      <c r="O151" s="8">
        <v>0</v>
      </c>
      <c r="P151" s="4" t="s">
        <v>751</v>
      </c>
      <c r="Q151" s="5">
        <v>20241125</v>
      </c>
      <c r="R151" s="5" t="s">
        <v>17</v>
      </c>
      <c r="S151" s="5" t="s">
        <v>17</v>
      </c>
      <c r="T151" s="5">
        <v>2024</v>
      </c>
    </row>
    <row r="152" spans="1:20" ht="204" x14ac:dyDescent="0.4">
      <c r="A152" s="4" t="s">
        <v>752</v>
      </c>
      <c r="B152" s="5" t="s">
        <v>16</v>
      </c>
      <c r="C152" s="5" t="s">
        <v>17</v>
      </c>
      <c r="D152" s="5" t="s">
        <v>18</v>
      </c>
      <c r="E152" s="6">
        <v>45350</v>
      </c>
      <c r="F152" s="6">
        <v>45419</v>
      </c>
      <c r="G152" s="5" t="s">
        <v>19</v>
      </c>
      <c r="H152" s="4" t="s">
        <v>753</v>
      </c>
      <c r="I152" s="4" t="s">
        <v>754</v>
      </c>
      <c r="J152" s="4" t="s">
        <v>755</v>
      </c>
      <c r="K152" s="8">
        <v>0</v>
      </c>
      <c r="L152" s="8">
        <v>0</v>
      </c>
      <c r="M152" s="8">
        <v>0</v>
      </c>
      <c r="N152" s="8">
        <v>0</v>
      </c>
      <c r="O152" s="8">
        <v>0</v>
      </c>
      <c r="P152" s="4" t="s">
        <v>756</v>
      </c>
      <c r="Q152" s="5">
        <v>20241125</v>
      </c>
      <c r="R152" s="5" t="s">
        <v>17</v>
      </c>
      <c r="S152" s="5" t="s">
        <v>17</v>
      </c>
      <c r="T152" s="5">
        <v>2024</v>
      </c>
    </row>
    <row r="153" spans="1:20" ht="409.6" x14ac:dyDescent="0.4">
      <c r="A153" s="4" t="s">
        <v>440</v>
      </c>
      <c r="B153" s="5" t="s">
        <v>16</v>
      </c>
      <c r="C153" s="5" t="s">
        <v>17</v>
      </c>
      <c r="D153" s="5" t="s">
        <v>18</v>
      </c>
      <c r="E153" s="6">
        <v>45348</v>
      </c>
      <c r="F153" s="6">
        <v>45422</v>
      </c>
      <c r="G153" s="5" t="s">
        <v>19</v>
      </c>
      <c r="H153" s="4" t="s">
        <v>757</v>
      </c>
      <c r="I153" s="4" t="s">
        <v>758</v>
      </c>
      <c r="J153" s="4" t="s">
        <v>759</v>
      </c>
      <c r="K153" s="9">
        <v>1</v>
      </c>
      <c r="L153" s="9">
        <v>1</v>
      </c>
      <c r="M153" s="9">
        <v>0</v>
      </c>
      <c r="N153" s="9">
        <v>0</v>
      </c>
      <c r="O153" s="9">
        <v>0</v>
      </c>
      <c r="P153" s="4" t="s">
        <v>760</v>
      </c>
      <c r="Q153" s="5">
        <v>20241125</v>
      </c>
      <c r="R153" s="5" t="s">
        <v>17</v>
      </c>
      <c r="S153" s="5" t="s">
        <v>17</v>
      </c>
      <c r="T153" s="5">
        <v>2024</v>
      </c>
    </row>
    <row r="154" spans="1:20" ht="320.60000000000002" x14ac:dyDescent="0.4">
      <c r="A154" s="4" t="s">
        <v>761</v>
      </c>
      <c r="B154" s="5" t="s">
        <v>16</v>
      </c>
      <c r="C154" s="5" t="s">
        <v>17</v>
      </c>
      <c r="D154" s="5" t="s">
        <v>18</v>
      </c>
      <c r="E154" s="6">
        <v>45357</v>
      </c>
      <c r="F154" s="6">
        <v>45373</v>
      </c>
      <c r="G154" s="5" t="s">
        <v>19</v>
      </c>
      <c r="H154" s="4" t="s">
        <v>762</v>
      </c>
      <c r="I154" s="4" t="s">
        <v>763</v>
      </c>
      <c r="J154" s="4" t="s">
        <v>764</v>
      </c>
      <c r="K154" s="8">
        <v>1</v>
      </c>
      <c r="L154" s="8">
        <v>0</v>
      </c>
      <c r="M154" s="8">
        <v>0</v>
      </c>
      <c r="N154" s="8">
        <v>0</v>
      </c>
      <c r="O154" s="8">
        <v>0</v>
      </c>
      <c r="P154" s="4" t="s">
        <v>765</v>
      </c>
      <c r="Q154" s="5">
        <v>20241125</v>
      </c>
      <c r="R154" s="5" t="s">
        <v>17</v>
      </c>
      <c r="S154" s="5" t="s">
        <v>17</v>
      </c>
      <c r="T154" s="5">
        <v>2024</v>
      </c>
    </row>
    <row r="155" spans="1:20" ht="262.3" x14ac:dyDescent="0.4">
      <c r="A155" s="4" t="s">
        <v>766</v>
      </c>
      <c r="B155" s="5" t="s">
        <v>16</v>
      </c>
      <c r="C155" s="5" t="s">
        <v>17</v>
      </c>
      <c r="D155" s="5" t="s">
        <v>18</v>
      </c>
      <c r="E155" s="6">
        <v>45357</v>
      </c>
      <c r="F155" s="6">
        <v>45385</v>
      </c>
      <c r="G155" s="5" t="s">
        <v>19</v>
      </c>
      <c r="H155" s="4" t="s">
        <v>767</v>
      </c>
      <c r="I155" s="4" t="s">
        <v>768</v>
      </c>
      <c r="J155" s="4" t="s">
        <v>769</v>
      </c>
      <c r="K155" s="8">
        <v>0</v>
      </c>
      <c r="L155" s="8">
        <v>0</v>
      </c>
      <c r="M155" s="8">
        <v>0</v>
      </c>
      <c r="N155" s="8">
        <v>0</v>
      </c>
      <c r="O155" s="8">
        <v>0</v>
      </c>
      <c r="P155" s="4" t="s">
        <v>770</v>
      </c>
      <c r="Q155" s="5">
        <v>20241125</v>
      </c>
      <c r="R155" s="5" t="s">
        <v>17</v>
      </c>
      <c r="S155" s="5" t="s">
        <v>17</v>
      </c>
      <c r="T155" s="5">
        <v>2024</v>
      </c>
    </row>
    <row r="156" spans="1:20" ht="276.89999999999998" x14ac:dyDescent="0.4">
      <c r="A156" s="4" t="s">
        <v>771</v>
      </c>
      <c r="B156" s="5" t="s">
        <v>16</v>
      </c>
      <c r="C156" s="5" t="s">
        <v>772</v>
      </c>
      <c r="D156" s="5" t="s">
        <v>18</v>
      </c>
      <c r="E156" s="6">
        <v>45356</v>
      </c>
      <c r="F156" s="6">
        <v>45399</v>
      </c>
      <c r="G156" s="5" t="s">
        <v>19</v>
      </c>
      <c r="H156" s="4" t="s">
        <v>773</v>
      </c>
      <c r="I156" s="5" t="s">
        <v>773</v>
      </c>
      <c r="J156" s="4" t="s">
        <v>774</v>
      </c>
      <c r="K156" s="8"/>
      <c r="L156" s="8"/>
      <c r="M156" s="8"/>
      <c r="N156" s="8"/>
      <c r="O156" s="8"/>
      <c r="P156" s="4" t="s">
        <v>775</v>
      </c>
      <c r="Q156" s="5">
        <v>20241125</v>
      </c>
      <c r="R156" s="5" t="s">
        <v>17</v>
      </c>
      <c r="S156" s="5" t="s">
        <v>17</v>
      </c>
      <c r="T156" s="5">
        <v>2024</v>
      </c>
    </row>
    <row r="157" spans="1:20" ht="409.6" x14ac:dyDescent="0.4">
      <c r="A157" s="4" t="s">
        <v>776</v>
      </c>
      <c r="B157" s="5" t="s">
        <v>16</v>
      </c>
      <c r="C157" s="5" t="s">
        <v>777</v>
      </c>
      <c r="D157" s="5" t="s">
        <v>18</v>
      </c>
      <c r="E157" s="6">
        <v>45356</v>
      </c>
      <c r="F157" s="6">
        <v>45531</v>
      </c>
      <c r="G157" s="5" t="s">
        <v>19</v>
      </c>
      <c r="H157" s="4" t="s">
        <v>778</v>
      </c>
      <c r="I157" s="4" t="s">
        <v>779</v>
      </c>
      <c r="J157" s="4" t="s">
        <v>780</v>
      </c>
      <c r="K157" s="8">
        <v>0</v>
      </c>
      <c r="L157" s="8">
        <v>0</v>
      </c>
      <c r="M157" s="8">
        <v>0</v>
      </c>
      <c r="N157" s="8">
        <v>0</v>
      </c>
      <c r="O157" s="8">
        <v>0</v>
      </c>
      <c r="P157" s="4" t="s">
        <v>781</v>
      </c>
      <c r="Q157" s="5">
        <v>20241125</v>
      </c>
      <c r="R157" s="5" t="s">
        <v>17</v>
      </c>
      <c r="S157" s="5" t="s">
        <v>17</v>
      </c>
      <c r="T157" s="5">
        <v>2024</v>
      </c>
    </row>
    <row r="158" spans="1:20" ht="276.89999999999998" x14ac:dyDescent="0.4">
      <c r="A158" s="4" t="s">
        <v>782</v>
      </c>
      <c r="B158" s="5" t="s">
        <v>16</v>
      </c>
      <c r="C158" s="5" t="s">
        <v>17</v>
      </c>
      <c r="D158" s="5" t="s">
        <v>18</v>
      </c>
      <c r="E158" s="6">
        <v>45356</v>
      </c>
      <c r="F158" s="6">
        <v>45385</v>
      </c>
      <c r="G158" s="5" t="s">
        <v>19</v>
      </c>
      <c r="H158" s="4" t="s">
        <v>783</v>
      </c>
      <c r="I158" s="4" t="s">
        <v>784</v>
      </c>
      <c r="J158" s="4" t="s">
        <v>785</v>
      </c>
      <c r="K158" s="8">
        <v>0</v>
      </c>
      <c r="L158" s="8">
        <v>0</v>
      </c>
      <c r="M158" s="8">
        <v>1</v>
      </c>
      <c r="N158" s="8">
        <v>0</v>
      </c>
      <c r="O158" s="8">
        <v>1</v>
      </c>
      <c r="P158" s="4" t="s">
        <v>786</v>
      </c>
      <c r="Q158" s="5">
        <v>20241125</v>
      </c>
      <c r="R158" s="5" t="s">
        <v>17</v>
      </c>
      <c r="S158" s="5" t="s">
        <v>17</v>
      </c>
      <c r="T158" s="5">
        <v>2024</v>
      </c>
    </row>
    <row r="159" spans="1:20" ht="409.6" x14ac:dyDescent="0.4">
      <c r="A159" s="4" t="s">
        <v>787</v>
      </c>
      <c r="B159" s="5" t="s">
        <v>16</v>
      </c>
      <c r="C159" s="5" t="s">
        <v>788</v>
      </c>
      <c r="D159" s="5" t="s">
        <v>18</v>
      </c>
      <c r="E159" s="6">
        <v>45364</v>
      </c>
      <c r="F159" s="6">
        <v>45432</v>
      </c>
      <c r="G159" s="5" t="s">
        <v>19</v>
      </c>
      <c r="H159" s="4" t="s">
        <v>789</v>
      </c>
      <c r="I159" s="4" t="s">
        <v>790</v>
      </c>
      <c r="J159" s="4" t="s">
        <v>791</v>
      </c>
      <c r="K159" s="8">
        <v>1</v>
      </c>
      <c r="L159" s="8">
        <v>0</v>
      </c>
      <c r="M159" s="8">
        <v>1</v>
      </c>
      <c r="N159" s="8">
        <v>0</v>
      </c>
      <c r="O159" s="8">
        <v>0</v>
      </c>
      <c r="P159" s="4" t="s">
        <v>792</v>
      </c>
      <c r="Q159" s="5">
        <v>20241125</v>
      </c>
      <c r="R159" s="5" t="s">
        <v>17</v>
      </c>
      <c r="S159" s="5" t="s">
        <v>17</v>
      </c>
      <c r="T159" s="5">
        <v>2024</v>
      </c>
    </row>
    <row r="160" spans="1:20" ht="291.45" x14ac:dyDescent="0.4">
      <c r="A160" s="4" t="s">
        <v>793</v>
      </c>
      <c r="B160" s="5" t="s">
        <v>16</v>
      </c>
      <c r="C160" s="5" t="s">
        <v>17</v>
      </c>
      <c r="D160" s="5" t="s">
        <v>18</v>
      </c>
      <c r="E160" s="6">
        <v>45373</v>
      </c>
      <c r="F160" s="6">
        <v>45600</v>
      </c>
      <c r="G160" s="5" t="s">
        <v>19</v>
      </c>
      <c r="H160" s="4" t="s">
        <v>794</v>
      </c>
      <c r="I160" s="4" t="s">
        <v>795</v>
      </c>
      <c r="J160" s="4" t="s">
        <v>796</v>
      </c>
      <c r="K160" s="8">
        <v>0</v>
      </c>
      <c r="L160" s="8">
        <v>0</v>
      </c>
      <c r="M160" s="8">
        <v>0</v>
      </c>
      <c r="N160" s="8">
        <v>0</v>
      </c>
      <c r="O160" s="8">
        <v>0</v>
      </c>
      <c r="P160" s="4" t="s">
        <v>797</v>
      </c>
      <c r="Q160" s="5">
        <v>20241125</v>
      </c>
      <c r="R160" s="5" t="s">
        <v>17</v>
      </c>
      <c r="S160" s="5" t="s">
        <v>17</v>
      </c>
      <c r="T160" s="5">
        <v>2024</v>
      </c>
    </row>
    <row r="161" spans="1:20" ht="291.45" x14ac:dyDescent="0.4">
      <c r="A161" s="4" t="s">
        <v>798</v>
      </c>
      <c r="B161" s="5" t="s">
        <v>16</v>
      </c>
      <c r="C161" s="5" t="s">
        <v>17</v>
      </c>
      <c r="D161" s="5" t="s">
        <v>18</v>
      </c>
      <c r="E161" s="6">
        <v>45372</v>
      </c>
      <c r="F161" s="6">
        <v>45600</v>
      </c>
      <c r="G161" s="5" t="s">
        <v>19</v>
      </c>
      <c r="H161" s="4" t="s">
        <v>799</v>
      </c>
      <c r="I161" s="4" t="s">
        <v>800</v>
      </c>
      <c r="J161" s="4" t="s">
        <v>801</v>
      </c>
      <c r="K161" s="8">
        <v>0</v>
      </c>
      <c r="L161" s="8">
        <v>0</v>
      </c>
      <c r="M161" s="8">
        <v>0</v>
      </c>
      <c r="N161" s="8">
        <v>0</v>
      </c>
      <c r="O161" s="8">
        <v>0</v>
      </c>
      <c r="P161" s="4" t="s">
        <v>802</v>
      </c>
      <c r="Q161" s="5">
        <v>20241125</v>
      </c>
      <c r="R161" s="5" t="s">
        <v>17</v>
      </c>
      <c r="S161" s="5" t="s">
        <v>17</v>
      </c>
      <c r="T161" s="5">
        <v>2024</v>
      </c>
    </row>
    <row r="162" spans="1:20" ht="306" x14ac:dyDescent="0.4">
      <c r="A162" s="4" t="s">
        <v>803</v>
      </c>
      <c r="B162" s="5" t="s">
        <v>16</v>
      </c>
      <c r="C162" s="5" t="s">
        <v>804</v>
      </c>
      <c r="D162" s="5" t="s">
        <v>18</v>
      </c>
      <c r="E162" s="6">
        <v>45379</v>
      </c>
      <c r="F162" s="6">
        <v>45397</v>
      </c>
      <c r="G162" s="5" t="s">
        <v>19</v>
      </c>
      <c r="H162" s="4" t="s">
        <v>805</v>
      </c>
      <c r="I162" s="4" t="s">
        <v>806</v>
      </c>
      <c r="J162" s="4" t="s">
        <v>807</v>
      </c>
      <c r="K162" s="8">
        <v>1</v>
      </c>
      <c r="L162" s="8">
        <v>0</v>
      </c>
      <c r="M162" s="8">
        <v>0</v>
      </c>
      <c r="N162" s="8">
        <v>0</v>
      </c>
      <c r="O162" s="8">
        <v>0</v>
      </c>
      <c r="P162" s="4" t="s">
        <v>808</v>
      </c>
      <c r="Q162" s="5">
        <v>20241125</v>
      </c>
      <c r="R162" s="5" t="s">
        <v>17</v>
      </c>
      <c r="S162" s="5" t="s">
        <v>17</v>
      </c>
      <c r="T162" s="5">
        <v>2024</v>
      </c>
    </row>
    <row r="163" spans="1:20" ht="409.6" x14ac:dyDescent="0.4">
      <c r="A163" s="4" t="s">
        <v>809</v>
      </c>
      <c r="B163" s="5" t="s">
        <v>16</v>
      </c>
      <c r="C163" s="5" t="s">
        <v>17</v>
      </c>
      <c r="D163" s="5" t="s">
        <v>18</v>
      </c>
      <c r="E163" s="6">
        <v>45376</v>
      </c>
      <c r="F163" s="6">
        <v>45399</v>
      </c>
      <c r="G163" s="5" t="s">
        <v>19</v>
      </c>
      <c r="H163" s="4" t="s">
        <v>810</v>
      </c>
      <c r="I163" s="5" t="e">
        <f>- 파격적인 산후조리원비용 지원
- 어린이집, 유치원의 보육비 및 교육비 전액 지원
- 갓난아기때부터 학교 들어가기전까지 늘봄학교처럼 돌봐주는 대안 필요
  예를들면 시부모 친정부모가 돌봐 줄때 지원비 지원 및 동네 이웃등의 학교등에
              가족들이 번갈아 돌 볼 수 있는 장소 필요
- 프리랜서와 자영업자의 여성이 임신하고 출산하고 육아시 직전 총소득의 몇개월치 지원
  (지원액 상한을 두어도 좋음)
- 얼마전 뉴스에서 공무원인 경우 육아실도 진급등에 불이익이 없도록 한다는 기사를
  봤는데 이를 반드시 정기적으로 점검 및 확인이 필요함 (말로만 하면 안되니까)</f>
        <v>#NAME?</v>
      </c>
      <c r="J163" s="4" t="e">
        <f>- 당장 목돈을 주는 것보다 더 효과가 있을 겁니다.
  목돈은 먼저 써 버릴수 있기 때문입니다.
- 공무원과 대기업 중소기업 그리고 무엇보다 프리랜서, 자영업자 여성들의 상대적
  박탈감을 없앨 수 있슴</f>
        <v>#NAME?</v>
      </c>
      <c r="K163" s="9">
        <v>0</v>
      </c>
      <c r="L163" s="9">
        <v>0</v>
      </c>
      <c r="M163" s="9">
        <v>0</v>
      </c>
      <c r="N163" s="9">
        <v>0</v>
      </c>
      <c r="O163" s="9">
        <v>0</v>
      </c>
      <c r="P163" s="4" t="s">
        <v>811</v>
      </c>
      <c r="Q163" s="5">
        <v>20241125</v>
      </c>
      <c r="R163" s="5" t="s">
        <v>17</v>
      </c>
      <c r="S163" s="5" t="s">
        <v>17</v>
      </c>
      <c r="T163" s="5">
        <v>2024</v>
      </c>
    </row>
    <row r="164" spans="1:20" ht="276.89999999999998" x14ac:dyDescent="0.4">
      <c r="A164" s="4" t="s">
        <v>812</v>
      </c>
      <c r="B164" s="5" t="s">
        <v>16</v>
      </c>
      <c r="C164" s="5" t="s">
        <v>17</v>
      </c>
      <c r="D164" s="5" t="s">
        <v>18</v>
      </c>
      <c r="E164" s="6">
        <v>45376</v>
      </c>
      <c r="F164" s="6">
        <v>45425</v>
      </c>
      <c r="G164" s="5" t="s">
        <v>19</v>
      </c>
      <c r="H164" s="4" t="s">
        <v>813</v>
      </c>
      <c r="I164" s="4" t="s">
        <v>814</v>
      </c>
      <c r="J164" s="4" t="s">
        <v>815</v>
      </c>
      <c r="K164" s="9">
        <v>1</v>
      </c>
      <c r="L164" s="9">
        <v>0</v>
      </c>
      <c r="M164" s="9">
        <v>0</v>
      </c>
      <c r="N164" s="9">
        <v>0</v>
      </c>
      <c r="O164" s="9">
        <v>1</v>
      </c>
      <c r="P164" s="4" t="s">
        <v>816</v>
      </c>
      <c r="Q164" s="5">
        <v>20241125</v>
      </c>
      <c r="R164" s="5" t="s">
        <v>17</v>
      </c>
      <c r="S164" s="5" t="s">
        <v>17</v>
      </c>
      <c r="T164" s="5">
        <v>2024</v>
      </c>
    </row>
    <row r="165" spans="1:20" ht="409.6" x14ac:dyDescent="0.4">
      <c r="A165" s="4" t="s">
        <v>817</v>
      </c>
      <c r="B165" s="5" t="s">
        <v>16</v>
      </c>
      <c r="C165" s="5" t="s">
        <v>17</v>
      </c>
      <c r="D165" s="5" t="s">
        <v>18</v>
      </c>
      <c r="E165" s="6">
        <v>45384</v>
      </c>
      <c r="F165" s="6">
        <v>45391</v>
      </c>
      <c r="G165" s="5" t="s">
        <v>19</v>
      </c>
      <c r="H165" s="4" t="s">
        <v>818</v>
      </c>
      <c r="I165" s="4" t="s">
        <v>819</v>
      </c>
      <c r="J165" s="4" t="s">
        <v>820</v>
      </c>
      <c r="K165" s="8">
        <v>1</v>
      </c>
      <c r="L165" s="8">
        <v>0</v>
      </c>
      <c r="M165" s="8">
        <v>1</v>
      </c>
      <c r="N165" s="8">
        <v>1</v>
      </c>
      <c r="O165" s="8">
        <v>1</v>
      </c>
      <c r="P165" s="4" t="s">
        <v>821</v>
      </c>
      <c r="Q165" s="5">
        <v>20241125</v>
      </c>
      <c r="R165" s="5" t="s">
        <v>17</v>
      </c>
      <c r="S165" s="5" t="s">
        <v>17</v>
      </c>
      <c r="T165" s="5">
        <v>2024</v>
      </c>
    </row>
    <row r="166" spans="1:20" ht="409.6" x14ac:dyDescent="0.4">
      <c r="A166" s="4" t="s">
        <v>822</v>
      </c>
      <c r="B166" s="5" t="s">
        <v>16</v>
      </c>
      <c r="C166" s="5" t="s">
        <v>17</v>
      </c>
      <c r="D166" s="5" t="s">
        <v>18</v>
      </c>
      <c r="E166" s="6">
        <v>45400</v>
      </c>
      <c r="F166" s="6">
        <v>45524</v>
      </c>
      <c r="G166" s="5" t="s">
        <v>19</v>
      </c>
      <c r="H166" s="4" t="s">
        <v>823</v>
      </c>
      <c r="I166" s="5" t="s">
        <v>824</v>
      </c>
      <c r="J166" s="4" t="s">
        <v>825</v>
      </c>
      <c r="K166" s="9">
        <v>0</v>
      </c>
      <c r="L166" s="9">
        <v>0</v>
      </c>
      <c r="M166" s="9">
        <v>0</v>
      </c>
      <c r="N166" s="9">
        <v>0</v>
      </c>
      <c r="O166" s="9">
        <v>0</v>
      </c>
      <c r="P166" s="4" t="s">
        <v>826</v>
      </c>
      <c r="Q166" s="5">
        <v>20241125</v>
      </c>
      <c r="R166" s="5" t="s">
        <v>17</v>
      </c>
      <c r="S166" s="5" t="s">
        <v>17</v>
      </c>
      <c r="T166" s="5">
        <v>2024</v>
      </c>
    </row>
    <row r="167" spans="1:20" ht="409.6" x14ac:dyDescent="0.4">
      <c r="A167" s="4" t="s">
        <v>822</v>
      </c>
      <c r="B167" s="5" t="s">
        <v>16</v>
      </c>
      <c r="C167" s="5" t="s">
        <v>17</v>
      </c>
      <c r="D167" s="5" t="s">
        <v>18</v>
      </c>
      <c r="E167" s="6">
        <v>45400</v>
      </c>
      <c r="F167" s="6">
        <v>45502</v>
      </c>
      <c r="G167" s="5" t="s">
        <v>19</v>
      </c>
      <c r="H167" s="4" t="s">
        <v>823</v>
      </c>
      <c r="I167" s="5" t="s">
        <v>824</v>
      </c>
      <c r="J167" s="4" t="s">
        <v>825</v>
      </c>
      <c r="K167" s="9">
        <v>0</v>
      </c>
      <c r="L167" s="9">
        <v>0</v>
      </c>
      <c r="M167" s="9">
        <v>0</v>
      </c>
      <c r="N167" s="9">
        <v>0</v>
      </c>
      <c r="O167" s="9">
        <v>0</v>
      </c>
      <c r="P167" s="4" t="s">
        <v>827</v>
      </c>
      <c r="Q167" s="5">
        <v>20241125</v>
      </c>
      <c r="R167" s="5" t="s">
        <v>17</v>
      </c>
      <c r="S167" s="5" t="s">
        <v>17</v>
      </c>
      <c r="T167" s="5">
        <v>2024</v>
      </c>
    </row>
    <row r="168" spans="1:20" ht="189.45" x14ac:dyDescent="0.4">
      <c r="A168" s="4" t="s">
        <v>828</v>
      </c>
      <c r="B168" s="5" t="s">
        <v>16</v>
      </c>
      <c r="C168" s="5" t="s">
        <v>17</v>
      </c>
      <c r="D168" s="5" t="s">
        <v>18</v>
      </c>
      <c r="E168" s="6">
        <v>45410</v>
      </c>
      <c r="F168" s="6">
        <v>45454</v>
      </c>
      <c r="G168" s="5" t="s">
        <v>19</v>
      </c>
      <c r="H168" s="4" t="s">
        <v>829</v>
      </c>
      <c r="I168" s="4" t="s">
        <v>830</v>
      </c>
      <c r="J168" s="4" t="s">
        <v>831</v>
      </c>
      <c r="K168" s="9">
        <v>0</v>
      </c>
      <c r="L168" s="9">
        <v>0</v>
      </c>
      <c r="M168" s="9">
        <v>0</v>
      </c>
      <c r="N168" s="9">
        <v>0</v>
      </c>
      <c r="O168" s="9">
        <v>0</v>
      </c>
      <c r="P168" s="4" t="s">
        <v>832</v>
      </c>
      <c r="Q168" s="5">
        <v>20241125</v>
      </c>
      <c r="R168" s="5" t="s">
        <v>17</v>
      </c>
      <c r="S168" s="5" t="s">
        <v>17</v>
      </c>
      <c r="T168" s="5">
        <v>2024</v>
      </c>
    </row>
    <row r="169" spans="1:20" ht="276.89999999999998" x14ac:dyDescent="0.4">
      <c r="A169" s="4" t="s">
        <v>833</v>
      </c>
      <c r="B169" s="5" t="s">
        <v>16</v>
      </c>
      <c r="C169" s="5" t="s">
        <v>17</v>
      </c>
      <c r="D169" s="5" t="s">
        <v>18</v>
      </c>
      <c r="E169" s="6">
        <v>45410</v>
      </c>
      <c r="F169" s="6">
        <v>45455</v>
      </c>
      <c r="G169" s="5" t="s">
        <v>19</v>
      </c>
      <c r="H169" s="4" t="s">
        <v>834</v>
      </c>
      <c r="I169" s="4" t="s">
        <v>835</v>
      </c>
      <c r="J169" s="4" t="s">
        <v>836</v>
      </c>
      <c r="K169" s="9">
        <v>0</v>
      </c>
      <c r="L169" s="9">
        <v>0</v>
      </c>
      <c r="M169" s="9">
        <v>0</v>
      </c>
      <c r="N169" s="9">
        <v>0</v>
      </c>
      <c r="O169" s="9">
        <v>0</v>
      </c>
      <c r="P169" s="4" t="s">
        <v>837</v>
      </c>
      <c r="Q169" s="5">
        <v>20241125</v>
      </c>
      <c r="R169" s="5" t="s">
        <v>17</v>
      </c>
      <c r="S169" s="5" t="s">
        <v>17</v>
      </c>
      <c r="T169" s="5">
        <v>2024</v>
      </c>
    </row>
    <row r="170" spans="1:20" ht="174.9" x14ac:dyDescent="0.4">
      <c r="A170" s="4" t="s">
        <v>838</v>
      </c>
      <c r="B170" s="5" t="s">
        <v>16</v>
      </c>
      <c r="C170" s="5" t="s">
        <v>17</v>
      </c>
      <c r="D170" s="5" t="s">
        <v>18</v>
      </c>
      <c r="E170" s="6">
        <v>45407</v>
      </c>
      <c r="F170" s="6">
        <v>45448</v>
      </c>
      <c r="G170" s="5" t="s">
        <v>19</v>
      </c>
      <c r="H170" s="4" t="s">
        <v>839</v>
      </c>
      <c r="I170" s="5" t="s">
        <v>840</v>
      </c>
      <c r="J170" s="4" t="s">
        <v>841</v>
      </c>
      <c r="K170" s="8">
        <v>0</v>
      </c>
      <c r="L170" s="8">
        <v>0</v>
      </c>
      <c r="M170" s="8">
        <v>0</v>
      </c>
      <c r="N170" s="8">
        <v>0</v>
      </c>
      <c r="O170" s="8">
        <v>0</v>
      </c>
      <c r="P170" s="4" t="s">
        <v>842</v>
      </c>
      <c r="Q170" s="5">
        <v>20241125</v>
      </c>
      <c r="R170" s="5" t="s">
        <v>17</v>
      </c>
      <c r="S170" s="5" t="s">
        <v>17</v>
      </c>
      <c r="T170" s="5">
        <v>2024</v>
      </c>
    </row>
    <row r="171" spans="1:20" ht="349.75" x14ac:dyDescent="0.4">
      <c r="A171" s="4" t="s">
        <v>843</v>
      </c>
      <c r="B171" s="5" t="s">
        <v>16</v>
      </c>
      <c r="C171" s="5" t="s">
        <v>17</v>
      </c>
      <c r="D171" s="5" t="s">
        <v>18</v>
      </c>
      <c r="E171" s="6">
        <v>45407</v>
      </c>
      <c r="F171" s="6">
        <v>45414</v>
      </c>
      <c r="G171" s="5" t="s">
        <v>19</v>
      </c>
      <c r="H171" s="4" t="s">
        <v>844</v>
      </c>
      <c r="I171" s="4" t="s">
        <v>845</v>
      </c>
      <c r="J171" s="4" t="s">
        <v>846</v>
      </c>
      <c r="K171" s="8">
        <v>0</v>
      </c>
      <c r="L171" s="8">
        <v>0</v>
      </c>
      <c r="M171" s="8">
        <v>0</v>
      </c>
      <c r="N171" s="8">
        <v>0</v>
      </c>
      <c r="O171" s="8">
        <v>0</v>
      </c>
      <c r="P171" s="4" t="s">
        <v>847</v>
      </c>
      <c r="Q171" s="5">
        <v>20241125</v>
      </c>
      <c r="R171" s="5" t="s">
        <v>17</v>
      </c>
      <c r="S171" s="5" t="s">
        <v>17</v>
      </c>
      <c r="T171" s="5">
        <v>2024</v>
      </c>
    </row>
    <row r="172" spans="1:20" ht="409.6" x14ac:dyDescent="0.4">
      <c r="A172" s="4" t="s">
        <v>621</v>
      </c>
      <c r="B172" s="5" t="s">
        <v>16</v>
      </c>
      <c r="C172" s="5" t="s">
        <v>17</v>
      </c>
      <c r="D172" s="5" t="s">
        <v>18</v>
      </c>
      <c r="E172" s="6">
        <v>45406</v>
      </c>
      <c r="F172" s="6">
        <v>45498</v>
      </c>
      <c r="G172" s="5" t="s">
        <v>19</v>
      </c>
      <c r="H172" s="4" t="s">
        <v>848</v>
      </c>
      <c r="I172" s="5" t="s">
        <v>849</v>
      </c>
      <c r="J172" s="4" t="s">
        <v>850</v>
      </c>
      <c r="K172" s="8">
        <v>1</v>
      </c>
      <c r="L172" s="8">
        <v>1</v>
      </c>
      <c r="M172" s="8">
        <v>0</v>
      </c>
      <c r="N172" s="8">
        <v>0</v>
      </c>
      <c r="O172" s="8">
        <v>1</v>
      </c>
      <c r="P172" s="4" t="s">
        <v>851</v>
      </c>
      <c r="Q172" s="5">
        <v>20241125</v>
      </c>
      <c r="R172" s="5" t="s">
        <v>17</v>
      </c>
      <c r="S172" s="5" t="s">
        <v>17</v>
      </c>
      <c r="T172" s="5">
        <v>2024</v>
      </c>
    </row>
    <row r="173" spans="1:20" ht="320.60000000000002" x14ac:dyDescent="0.4">
      <c r="A173" s="4" t="s">
        <v>852</v>
      </c>
      <c r="B173" s="5" t="s">
        <v>16</v>
      </c>
      <c r="C173" s="5" t="s">
        <v>853</v>
      </c>
      <c r="D173" s="5" t="s">
        <v>18</v>
      </c>
      <c r="E173" s="6">
        <v>45404</v>
      </c>
      <c r="F173" s="6">
        <v>45428</v>
      </c>
      <c r="G173" s="5" t="s">
        <v>19</v>
      </c>
      <c r="H173" s="4" t="s">
        <v>425</v>
      </c>
      <c r="I173" s="5" t="s">
        <v>854</v>
      </c>
      <c r="J173" s="4" t="s">
        <v>855</v>
      </c>
      <c r="K173" s="9"/>
      <c r="L173" s="9"/>
      <c r="M173" s="9"/>
      <c r="N173" s="9"/>
      <c r="O173" s="9"/>
      <c r="P173" s="4" t="s">
        <v>856</v>
      </c>
      <c r="Q173" s="5">
        <v>20241125</v>
      </c>
      <c r="R173" s="5" t="s">
        <v>17</v>
      </c>
      <c r="S173" s="5" t="s">
        <v>17</v>
      </c>
      <c r="T173" s="5">
        <v>2024</v>
      </c>
    </row>
    <row r="174" spans="1:20" ht="145.75" x14ac:dyDescent="0.4">
      <c r="A174" s="4" t="s">
        <v>857</v>
      </c>
      <c r="B174" s="5" t="s">
        <v>16</v>
      </c>
      <c r="C174" s="5" t="s">
        <v>17</v>
      </c>
      <c r="D174" s="5" t="s">
        <v>18</v>
      </c>
      <c r="E174" s="6">
        <v>45413</v>
      </c>
      <c r="F174" s="6">
        <v>45421</v>
      </c>
      <c r="G174" s="5" t="s">
        <v>19</v>
      </c>
      <c r="H174" s="4" t="s">
        <v>858</v>
      </c>
      <c r="I174" s="4" t="s">
        <v>859</v>
      </c>
      <c r="J174" s="4" t="s">
        <v>860</v>
      </c>
      <c r="K174" s="9"/>
      <c r="L174" s="9"/>
      <c r="M174" s="9"/>
      <c r="N174" s="9"/>
      <c r="O174" s="9"/>
      <c r="P174" s="4" t="s">
        <v>861</v>
      </c>
      <c r="Q174" s="5">
        <v>20241125</v>
      </c>
      <c r="R174" s="5" t="s">
        <v>17</v>
      </c>
      <c r="S174" s="5" t="s">
        <v>17</v>
      </c>
      <c r="T174" s="5">
        <v>2024</v>
      </c>
    </row>
    <row r="175" spans="1:20" ht="349.75" x14ac:dyDescent="0.4">
      <c r="A175" s="4" t="s">
        <v>862</v>
      </c>
      <c r="B175" s="5" t="s">
        <v>16</v>
      </c>
      <c r="C175" s="5" t="s">
        <v>17</v>
      </c>
      <c r="D175" s="5" t="s">
        <v>18</v>
      </c>
      <c r="E175" s="6">
        <v>45421</v>
      </c>
      <c r="F175" s="6">
        <v>45435</v>
      </c>
      <c r="G175" s="5" t="s">
        <v>19</v>
      </c>
      <c r="H175" s="4" t="s">
        <v>863</v>
      </c>
      <c r="I175" s="5" t="s">
        <v>864</v>
      </c>
      <c r="J175" s="4" t="s">
        <v>865</v>
      </c>
      <c r="K175" s="9">
        <v>1</v>
      </c>
      <c r="L175" s="9">
        <v>0</v>
      </c>
      <c r="M175" s="9">
        <v>1</v>
      </c>
      <c r="N175" s="9">
        <v>1</v>
      </c>
      <c r="O175" s="9">
        <v>0</v>
      </c>
      <c r="P175" s="4" t="s">
        <v>866</v>
      </c>
      <c r="Q175" s="5">
        <v>20241125</v>
      </c>
      <c r="R175" s="5" t="s">
        <v>17</v>
      </c>
      <c r="S175" s="5" t="s">
        <v>17</v>
      </c>
      <c r="T175" s="5">
        <v>2024</v>
      </c>
    </row>
    <row r="176" spans="1:20" ht="409.6" x14ac:dyDescent="0.4">
      <c r="A176" s="4" t="s">
        <v>867</v>
      </c>
      <c r="B176" s="5" t="s">
        <v>16</v>
      </c>
      <c r="C176" s="5" t="s">
        <v>17</v>
      </c>
      <c r="D176" s="5" t="s">
        <v>18</v>
      </c>
      <c r="E176" s="6">
        <v>45439</v>
      </c>
      <c r="F176" s="6">
        <v>45511</v>
      </c>
      <c r="G176" s="5" t="s">
        <v>19</v>
      </c>
      <c r="H176" s="4" t="s">
        <v>868</v>
      </c>
      <c r="I176" s="4" t="s">
        <v>869</v>
      </c>
      <c r="J176" s="4" t="s">
        <v>870</v>
      </c>
      <c r="K176" s="8">
        <v>1</v>
      </c>
      <c r="L176" s="8">
        <v>0</v>
      </c>
      <c r="M176" s="8">
        <v>1</v>
      </c>
      <c r="N176" s="8">
        <v>0</v>
      </c>
      <c r="O176" s="8">
        <v>0</v>
      </c>
      <c r="P176" s="4" t="s">
        <v>871</v>
      </c>
      <c r="Q176" s="5">
        <v>20241126</v>
      </c>
      <c r="R176" s="5" t="s">
        <v>17</v>
      </c>
      <c r="S176" s="5" t="s">
        <v>17</v>
      </c>
      <c r="T176" s="5">
        <v>2024</v>
      </c>
    </row>
    <row r="177" spans="1:20" ht="349.75" x14ac:dyDescent="0.4">
      <c r="A177" s="4" t="s">
        <v>872</v>
      </c>
      <c r="B177" s="5" t="s">
        <v>16</v>
      </c>
      <c r="C177" s="5" t="s">
        <v>17</v>
      </c>
      <c r="D177" s="5" t="s">
        <v>18</v>
      </c>
      <c r="E177" s="6">
        <v>45446</v>
      </c>
      <c r="F177" s="6">
        <v>45471</v>
      </c>
      <c r="G177" s="5" t="s">
        <v>19</v>
      </c>
      <c r="H177" s="4" t="s">
        <v>873</v>
      </c>
      <c r="I177" s="5" t="s">
        <v>874</v>
      </c>
      <c r="J177" s="4" t="s">
        <v>875</v>
      </c>
      <c r="K177" s="9">
        <v>0</v>
      </c>
      <c r="L177" s="9">
        <v>0</v>
      </c>
      <c r="M177" s="9">
        <v>1</v>
      </c>
      <c r="N177" s="9">
        <v>1</v>
      </c>
      <c r="O177" s="9">
        <v>1</v>
      </c>
      <c r="P177" s="4" t="s">
        <v>876</v>
      </c>
      <c r="Q177" s="5">
        <v>20241126</v>
      </c>
      <c r="R177" s="5" t="s">
        <v>17</v>
      </c>
      <c r="S177" s="5" t="s">
        <v>17</v>
      </c>
      <c r="T177" s="5">
        <v>2024</v>
      </c>
    </row>
    <row r="178" spans="1:20" ht="378.9" x14ac:dyDescent="0.4">
      <c r="A178" s="4" t="s">
        <v>877</v>
      </c>
      <c r="B178" s="5" t="s">
        <v>16</v>
      </c>
      <c r="C178" s="5" t="s">
        <v>17</v>
      </c>
      <c r="D178" s="5" t="s">
        <v>18</v>
      </c>
      <c r="E178" s="6">
        <v>45454</v>
      </c>
      <c r="F178" s="6">
        <v>45477</v>
      </c>
      <c r="G178" s="5" t="s">
        <v>19</v>
      </c>
      <c r="H178" s="4" t="s">
        <v>878</v>
      </c>
      <c r="I178" s="4" t="s">
        <v>879</v>
      </c>
      <c r="J178" s="4" t="s">
        <v>880</v>
      </c>
      <c r="K178" s="8">
        <v>0</v>
      </c>
      <c r="L178" s="8">
        <v>0</v>
      </c>
      <c r="M178" s="8">
        <v>1</v>
      </c>
      <c r="N178" s="8">
        <v>1</v>
      </c>
      <c r="O178" s="8">
        <v>1</v>
      </c>
      <c r="P178" s="4" t="s">
        <v>881</v>
      </c>
      <c r="Q178" s="5">
        <v>20241126</v>
      </c>
      <c r="R178" s="5" t="s">
        <v>17</v>
      </c>
      <c r="S178" s="5" t="s">
        <v>17</v>
      </c>
      <c r="T178" s="5">
        <v>2024</v>
      </c>
    </row>
    <row r="179" spans="1:20" ht="291.45" x14ac:dyDescent="0.4">
      <c r="A179" s="4" t="s">
        <v>882</v>
      </c>
      <c r="B179" s="5" t="s">
        <v>16</v>
      </c>
      <c r="C179" s="5" t="s">
        <v>17</v>
      </c>
      <c r="D179" s="5" t="s">
        <v>18</v>
      </c>
      <c r="E179" s="6">
        <v>45466</v>
      </c>
      <c r="F179" s="6">
        <v>45488</v>
      </c>
      <c r="G179" s="5" t="s">
        <v>19</v>
      </c>
      <c r="H179" s="4" t="s">
        <v>883</v>
      </c>
      <c r="I179" s="4" t="s">
        <v>884</v>
      </c>
      <c r="J179" s="4" t="s">
        <v>885</v>
      </c>
      <c r="K179" s="8">
        <v>0</v>
      </c>
      <c r="L179" s="8">
        <v>0</v>
      </c>
      <c r="M179" s="8">
        <v>1</v>
      </c>
      <c r="N179" s="8">
        <v>0</v>
      </c>
      <c r="O179" s="8">
        <v>0</v>
      </c>
      <c r="P179" s="4" t="s">
        <v>886</v>
      </c>
      <c r="Q179" s="5">
        <v>20241126</v>
      </c>
      <c r="R179" s="5" t="s">
        <v>17</v>
      </c>
      <c r="S179" s="5" t="s">
        <v>17</v>
      </c>
      <c r="T179" s="5">
        <v>2024</v>
      </c>
    </row>
    <row r="180" spans="1:20" ht="335.15" x14ac:dyDescent="0.4">
      <c r="A180" s="4" t="s">
        <v>470</v>
      </c>
      <c r="B180" s="5" t="s">
        <v>16</v>
      </c>
      <c r="C180" s="5" t="s">
        <v>17</v>
      </c>
      <c r="D180" s="5" t="s">
        <v>18</v>
      </c>
      <c r="E180" s="6">
        <v>45466</v>
      </c>
      <c r="F180" s="6">
        <v>45499</v>
      </c>
      <c r="G180" s="5" t="s">
        <v>19</v>
      </c>
      <c r="H180" s="4" t="s">
        <v>887</v>
      </c>
      <c r="I180" s="4" t="s">
        <v>888</v>
      </c>
      <c r="J180" s="4" t="s">
        <v>889</v>
      </c>
      <c r="K180" s="9">
        <v>0</v>
      </c>
      <c r="L180" s="9">
        <v>0</v>
      </c>
      <c r="M180" s="9">
        <v>0</v>
      </c>
      <c r="N180" s="9">
        <v>0</v>
      </c>
      <c r="O180" s="9">
        <v>0</v>
      </c>
      <c r="P180" s="4" t="s">
        <v>890</v>
      </c>
      <c r="Q180" s="5">
        <v>20241126</v>
      </c>
      <c r="R180" s="5" t="s">
        <v>17</v>
      </c>
      <c r="S180" s="5" t="s">
        <v>17</v>
      </c>
      <c r="T180" s="5">
        <v>2024</v>
      </c>
    </row>
    <row r="181" spans="1:20" ht="276.89999999999998" x14ac:dyDescent="0.4">
      <c r="A181" s="4" t="s">
        <v>891</v>
      </c>
      <c r="B181" s="5" t="s">
        <v>16</v>
      </c>
      <c r="C181" s="5" t="s">
        <v>17</v>
      </c>
      <c r="D181" s="5" t="s">
        <v>18</v>
      </c>
      <c r="E181" s="6">
        <v>45464</v>
      </c>
      <c r="F181" s="6">
        <v>45510</v>
      </c>
      <c r="G181" s="5" t="s">
        <v>19</v>
      </c>
      <c r="H181" s="4" t="s">
        <v>892</v>
      </c>
      <c r="I181" s="5" t="s">
        <v>893</v>
      </c>
      <c r="J181" s="4" t="s">
        <v>894</v>
      </c>
      <c r="K181" s="8">
        <v>0</v>
      </c>
      <c r="L181" s="8">
        <v>0</v>
      </c>
      <c r="M181" s="8">
        <v>1</v>
      </c>
      <c r="N181" s="8">
        <v>1</v>
      </c>
      <c r="O181" s="8">
        <v>1</v>
      </c>
      <c r="P181" s="4" t="s">
        <v>895</v>
      </c>
      <c r="Q181" s="5">
        <v>20241126</v>
      </c>
      <c r="R181" s="5" t="s">
        <v>17</v>
      </c>
      <c r="S181" s="5" t="s">
        <v>17</v>
      </c>
      <c r="T181" s="5">
        <v>2024</v>
      </c>
    </row>
    <row r="182" spans="1:20" ht="393.45" x14ac:dyDescent="0.4">
      <c r="A182" s="4" t="s">
        <v>896</v>
      </c>
      <c r="B182" s="5" t="s">
        <v>16</v>
      </c>
      <c r="C182" s="5" t="s">
        <v>17</v>
      </c>
      <c r="D182" s="5" t="s">
        <v>18</v>
      </c>
      <c r="E182" s="6">
        <v>45464</v>
      </c>
      <c r="F182" s="6">
        <v>45522</v>
      </c>
      <c r="G182" s="5" t="s">
        <v>19</v>
      </c>
      <c r="H182" s="4" t="s">
        <v>897</v>
      </c>
      <c r="I182" s="4" t="s">
        <v>898</v>
      </c>
      <c r="J182" s="4" t="s">
        <v>899</v>
      </c>
      <c r="K182" s="8">
        <v>0</v>
      </c>
      <c r="L182" s="8">
        <v>0</v>
      </c>
      <c r="M182" s="8">
        <v>0</v>
      </c>
      <c r="N182" s="8">
        <v>0</v>
      </c>
      <c r="O182" s="8">
        <v>0</v>
      </c>
      <c r="P182" s="4" t="s">
        <v>900</v>
      </c>
      <c r="Q182" s="5">
        <v>20241126</v>
      </c>
      <c r="R182" s="5" t="s">
        <v>17</v>
      </c>
      <c r="S182" s="5" t="s">
        <v>17</v>
      </c>
      <c r="T182" s="5">
        <v>2024</v>
      </c>
    </row>
    <row r="183" spans="1:20" ht="409.6" x14ac:dyDescent="0.4">
      <c r="A183" s="4" t="s">
        <v>901</v>
      </c>
      <c r="B183" s="5" t="s">
        <v>16</v>
      </c>
      <c r="C183" s="5" t="s">
        <v>17</v>
      </c>
      <c r="D183" s="5" t="s">
        <v>18</v>
      </c>
      <c r="E183" s="6">
        <v>45460</v>
      </c>
      <c r="F183" s="6">
        <v>45530</v>
      </c>
      <c r="G183" s="5" t="s">
        <v>19</v>
      </c>
      <c r="H183" s="4" t="s">
        <v>902</v>
      </c>
      <c r="I183" s="4" t="s">
        <v>903</v>
      </c>
      <c r="J183" s="4" t="s">
        <v>904</v>
      </c>
      <c r="K183" s="8">
        <v>0</v>
      </c>
      <c r="L183" s="8">
        <v>0</v>
      </c>
      <c r="M183" s="8">
        <v>0</v>
      </c>
      <c r="N183" s="8">
        <v>0</v>
      </c>
      <c r="O183" s="8">
        <v>0</v>
      </c>
      <c r="P183" s="4" t="s">
        <v>905</v>
      </c>
      <c r="Q183" s="5">
        <v>20241126</v>
      </c>
      <c r="R183" s="5" t="s">
        <v>17</v>
      </c>
      <c r="S183" s="5" t="s">
        <v>17</v>
      </c>
      <c r="T183" s="5">
        <v>2024</v>
      </c>
    </row>
    <row r="184" spans="1:20" ht="276.89999999999998" x14ac:dyDescent="0.4">
      <c r="A184" s="4" t="s">
        <v>906</v>
      </c>
      <c r="B184" s="5" t="s">
        <v>16</v>
      </c>
      <c r="C184" s="5" t="s">
        <v>17</v>
      </c>
      <c r="D184" s="5" t="s">
        <v>18</v>
      </c>
      <c r="E184" s="6">
        <v>45469</v>
      </c>
      <c r="F184" s="6">
        <v>45485</v>
      </c>
      <c r="G184" s="5" t="s">
        <v>19</v>
      </c>
      <c r="H184" s="4" t="s">
        <v>907</v>
      </c>
      <c r="I184" s="5" t="s">
        <v>908</v>
      </c>
      <c r="J184" s="4" t="s">
        <v>909</v>
      </c>
      <c r="K184" s="9">
        <v>0</v>
      </c>
      <c r="L184" s="9">
        <v>0</v>
      </c>
      <c r="M184" s="9">
        <v>0</v>
      </c>
      <c r="N184" s="9">
        <v>0</v>
      </c>
      <c r="O184" s="9">
        <v>1</v>
      </c>
      <c r="P184" s="4" t="s">
        <v>910</v>
      </c>
      <c r="Q184" s="5">
        <v>20241126</v>
      </c>
      <c r="R184" s="5" t="s">
        <v>17</v>
      </c>
      <c r="S184" s="5" t="s">
        <v>17</v>
      </c>
      <c r="T184" s="5">
        <v>2024</v>
      </c>
    </row>
    <row r="185" spans="1:20" ht="160.30000000000001" x14ac:dyDescent="0.4">
      <c r="A185" s="4" t="s">
        <v>911</v>
      </c>
      <c r="B185" s="5" t="s">
        <v>16</v>
      </c>
      <c r="C185" s="5" t="s">
        <v>17</v>
      </c>
      <c r="D185" s="5" t="s">
        <v>18</v>
      </c>
      <c r="E185" s="6">
        <v>45492</v>
      </c>
      <c r="F185" s="6">
        <v>45542</v>
      </c>
      <c r="G185" s="5" t="s">
        <v>19</v>
      </c>
      <c r="H185" s="4" t="s">
        <v>912</v>
      </c>
      <c r="I185" s="4" t="s">
        <v>913</v>
      </c>
      <c r="J185" s="4" t="s">
        <v>914</v>
      </c>
      <c r="K185" s="8">
        <v>0</v>
      </c>
      <c r="L185" s="8">
        <v>1</v>
      </c>
      <c r="M185" s="8">
        <v>0</v>
      </c>
      <c r="N185" s="8">
        <v>1</v>
      </c>
      <c r="O185" s="8">
        <v>0</v>
      </c>
      <c r="P185" s="4" t="s">
        <v>915</v>
      </c>
      <c r="Q185" s="5">
        <v>20241125</v>
      </c>
      <c r="R185" s="5" t="s">
        <v>17</v>
      </c>
      <c r="S185" s="5" t="s">
        <v>17</v>
      </c>
      <c r="T185" s="5">
        <v>2024</v>
      </c>
    </row>
    <row r="186" spans="1:20" ht="409.6" x14ac:dyDescent="0.4">
      <c r="A186" s="4" t="s">
        <v>916</v>
      </c>
      <c r="B186" s="5" t="s">
        <v>16</v>
      </c>
      <c r="C186" s="5" t="s">
        <v>17</v>
      </c>
      <c r="D186" s="5" t="s">
        <v>18</v>
      </c>
      <c r="E186" s="6">
        <v>45489</v>
      </c>
      <c r="F186" s="6">
        <v>45531</v>
      </c>
      <c r="G186" s="5" t="s">
        <v>19</v>
      </c>
      <c r="H186" s="4" t="s">
        <v>917</v>
      </c>
      <c r="I186" s="4" t="s">
        <v>918</v>
      </c>
      <c r="J186" s="4" t="s">
        <v>919</v>
      </c>
      <c r="K186" s="8">
        <v>0</v>
      </c>
      <c r="L186" s="8">
        <v>0</v>
      </c>
      <c r="M186" s="8">
        <v>0</v>
      </c>
      <c r="N186" s="8">
        <v>0</v>
      </c>
      <c r="O186" s="8">
        <v>0</v>
      </c>
      <c r="P186" s="4" t="s">
        <v>920</v>
      </c>
      <c r="Q186" s="5">
        <v>20241125</v>
      </c>
      <c r="R186" s="5" t="s">
        <v>17</v>
      </c>
      <c r="S186" s="5" t="s">
        <v>17</v>
      </c>
      <c r="T186" s="5">
        <v>2024</v>
      </c>
    </row>
    <row r="187" spans="1:20" ht="218.6" x14ac:dyDescent="0.4">
      <c r="A187" s="4" t="s">
        <v>921</v>
      </c>
      <c r="B187" s="5" t="s">
        <v>16</v>
      </c>
      <c r="C187" s="5" t="s">
        <v>17</v>
      </c>
      <c r="D187" s="5" t="s">
        <v>18</v>
      </c>
      <c r="E187" s="6">
        <v>45499</v>
      </c>
      <c r="F187" s="6">
        <v>45541</v>
      </c>
      <c r="G187" s="5" t="s">
        <v>19</v>
      </c>
      <c r="H187" s="4" t="s">
        <v>922</v>
      </c>
      <c r="I187" s="4" t="s">
        <v>923</v>
      </c>
      <c r="J187" s="4" t="s">
        <v>924</v>
      </c>
      <c r="K187" s="9">
        <v>0</v>
      </c>
      <c r="L187" s="9">
        <v>0</v>
      </c>
      <c r="M187" s="9">
        <v>0</v>
      </c>
      <c r="N187" s="9">
        <v>0</v>
      </c>
      <c r="O187" s="9">
        <v>0</v>
      </c>
      <c r="P187" s="4" t="s">
        <v>925</v>
      </c>
      <c r="Q187" s="5">
        <v>20241125</v>
      </c>
      <c r="R187" s="5" t="s">
        <v>17</v>
      </c>
      <c r="S187" s="5" t="s">
        <v>17</v>
      </c>
      <c r="T187" s="5">
        <v>2024</v>
      </c>
    </row>
    <row r="188" spans="1:20" ht="409.6" x14ac:dyDescent="0.4">
      <c r="A188" s="4" t="s">
        <v>926</v>
      </c>
      <c r="B188" s="5" t="s">
        <v>16</v>
      </c>
      <c r="C188" s="5" t="s">
        <v>17</v>
      </c>
      <c r="D188" s="5" t="s">
        <v>18</v>
      </c>
      <c r="E188" s="6">
        <v>45497</v>
      </c>
      <c r="F188" s="6">
        <v>45540</v>
      </c>
      <c r="G188" s="5" t="s">
        <v>19</v>
      </c>
      <c r="H188" s="4" t="s">
        <v>927</v>
      </c>
      <c r="I188" s="4" t="s">
        <v>928</v>
      </c>
      <c r="J188" s="4" t="s">
        <v>929</v>
      </c>
      <c r="K188" s="9">
        <v>0</v>
      </c>
      <c r="L188" s="9">
        <v>0</v>
      </c>
      <c r="M188" s="9">
        <v>0</v>
      </c>
      <c r="N188" s="9">
        <v>1</v>
      </c>
      <c r="O188" s="9">
        <v>1</v>
      </c>
      <c r="P188" s="4" t="s">
        <v>930</v>
      </c>
      <c r="Q188" s="5">
        <v>20241125</v>
      </c>
      <c r="R188" s="5" t="s">
        <v>17</v>
      </c>
      <c r="S188" s="5" t="s">
        <v>17</v>
      </c>
      <c r="T188" s="5">
        <v>2024</v>
      </c>
    </row>
    <row r="189" spans="1:20" ht="409.6" x14ac:dyDescent="0.4">
      <c r="A189" s="4" t="s">
        <v>931</v>
      </c>
      <c r="B189" s="5" t="s">
        <v>16</v>
      </c>
      <c r="C189" s="5" t="s">
        <v>17</v>
      </c>
      <c r="D189" s="5" t="s">
        <v>18</v>
      </c>
      <c r="E189" s="6">
        <v>45506</v>
      </c>
      <c r="F189" s="6">
        <v>45604</v>
      </c>
      <c r="G189" s="5" t="s">
        <v>19</v>
      </c>
      <c r="H189" s="4" t="s">
        <v>932</v>
      </c>
      <c r="I189" s="4" t="s">
        <v>933</v>
      </c>
      <c r="J189" s="4" t="s">
        <v>934</v>
      </c>
      <c r="K189" s="8">
        <v>0</v>
      </c>
      <c r="L189" s="8">
        <v>0</v>
      </c>
      <c r="M189" s="8">
        <v>0</v>
      </c>
      <c r="N189" s="8">
        <v>0</v>
      </c>
      <c r="O189" s="8">
        <v>0</v>
      </c>
      <c r="P189" s="4" t="s">
        <v>935</v>
      </c>
      <c r="Q189" s="5">
        <v>20241125</v>
      </c>
      <c r="R189" s="5" t="s">
        <v>17</v>
      </c>
      <c r="S189" s="5" t="s">
        <v>17</v>
      </c>
      <c r="T189" s="5">
        <v>2024</v>
      </c>
    </row>
    <row r="190" spans="1:20" ht="409.6" x14ac:dyDescent="0.4">
      <c r="A190" s="4" t="s">
        <v>936</v>
      </c>
      <c r="B190" s="5" t="s">
        <v>16</v>
      </c>
      <c r="C190" s="5" t="s">
        <v>17</v>
      </c>
      <c r="D190" s="5" t="s">
        <v>18</v>
      </c>
      <c r="E190" s="6">
        <v>45505</v>
      </c>
      <c r="F190" s="6">
        <v>45616</v>
      </c>
      <c r="G190" s="5" t="s">
        <v>19</v>
      </c>
      <c r="H190" s="4" t="s">
        <v>937</v>
      </c>
      <c r="I190" s="5" t="s">
        <v>938</v>
      </c>
      <c r="J190" s="4" t="s">
        <v>939</v>
      </c>
      <c r="K190" s="9">
        <v>0</v>
      </c>
      <c r="L190" s="9">
        <v>0</v>
      </c>
      <c r="M190" s="9">
        <v>0</v>
      </c>
      <c r="N190" s="9">
        <v>0</v>
      </c>
      <c r="O190" s="9">
        <v>0</v>
      </c>
      <c r="P190" s="4" t="s">
        <v>940</v>
      </c>
      <c r="Q190" s="5">
        <v>20241125</v>
      </c>
      <c r="R190" s="5" t="s">
        <v>17</v>
      </c>
      <c r="S190" s="5" t="s">
        <v>17</v>
      </c>
      <c r="T190" s="5">
        <v>2024</v>
      </c>
    </row>
    <row r="191" spans="1:20" ht="409.6" x14ac:dyDescent="0.4">
      <c r="A191" s="4" t="s">
        <v>941</v>
      </c>
      <c r="B191" s="5" t="s">
        <v>16</v>
      </c>
      <c r="C191" s="5" t="s">
        <v>17</v>
      </c>
      <c r="D191" s="5" t="s">
        <v>18</v>
      </c>
      <c r="E191" s="6">
        <v>45534</v>
      </c>
      <c r="F191" s="6">
        <v>45560</v>
      </c>
      <c r="G191" s="5" t="s">
        <v>19</v>
      </c>
      <c r="H191" s="4" t="s">
        <v>942</v>
      </c>
      <c r="I191" s="4" t="s">
        <v>943</v>
      </c>
      <c r="J191" s="4" t="s">
        <v>944</v>
      </c>
      <c r="K191" s="9">
        <v>1</v>
      </c>
      <c r="L191" s="9">
        <v>0</v>
      </c>
      <c r="M191" s="9">
        <v>0</v>
      </c>
      <c r="N191" s="9">
        <v>0</v>
      </c>
      <c r="O191" s="9">
        <v>0</v>
      </c>
      <c r="P191" s="4" t="s">
        <v>945</v>
      </c>
      <c r="Q191" s="5">
        <v>20241125</v>
      </c>
      <c r="R191" s="5" t="s">
        <v>17</v>
      </c>
      <c r="S191" s="5" t="s">
        <v>17</v>
      </c>
      <c r="T191" s="5">
        <v>2024</v>
      </c>
    </row>
    <row r="192" spans="1:20" ht="409.6" x14ac:dyDescent="0.4">
      <c r="A192" s="4" t="s">
        <v>946</v>
      </c>
      <c r="B192" s="5" t="s">
        <v>16</v>
      </c>
      <c r="C192" s="5" t="s">
        <v>17</v>
      </c>
      <c r="D192" s="5" t="s">
        <v>18</v>
      </c>
      <c r="E192" s="6">
        <v>45543</v>
      </c>
      <c r="F192" s="6">
        <v>45579</v>
      </c>
      <c r="G192" s="5" t="s">
        <v>19</v>
      </c>
      <c r="H192" s="4" t="s">
        <v>947</v>
      </c>
      <c r="I192" s="4" t="s">
        <v>948</v>
      </c>
      <c r="J192" s="4" t="s">
        <v>949</v>
      </c>
      <c r="K192" s="8">
        <v>1</v>
      </c>
      <c r="L192" s="8">
        <v>1</v>
      </c>
      <c r="M192" s="8">
        <v>0</v>
      </c>
      <c r="N192" s="8">
        <v>0</v>
      </c>
      <c r="O192" s="8">
        <v>0</v>
      </c>
      <c r="P192" s="4" t="s">
        <v>950</v>
      </c>
      <c r="Q192" s="5">
        <v>20241125</v>
      </c>
      <c r="R192" s="5" t="s">
        <v>17</v>
      </c>
      <c r="S192" s="5" t="s">
        <v>17</v>
      </c>
      <c r="T192" s="5">
        <v>2024</v>
      </c>
    </row>
    <row r="193" spans="1:20" ht="408" x14ac:dyDescent="0.4">
      <c r="A193" s="4" t="s">
        <v>951</v>
      </c>
      <c r="B193" s="5" t="s">
        <v>16</v>
      </c>
      <c r="C193" s="5" t="s">
        <v>952</v>
      </c>
      <c r="D193" s="5" t="s">
        <v>18</v>
      </c>
      <c r="E193" s="6">
        <v>45545</v>
      </c>
      <c r="F193" s="6">
        <v>45579</v>
      </c>
      <c r="G193" s="5" t="s">
        <v>19</v>
      </c>
      <c r="H193" s="4" t="s">
        <v>953</v>
      </c>
      <c r="I193" s="4" t="s">
        <v>954</v>
      </c>
      <c r="J193" s="4" t="s">
        <v>955</v>
      </c>
      <c r="K193" s="8">
        <v>0</v>
      </c>
      <c r="L193" s="8">
        <v>0</v>
      </c>
      <c r="M193" s="8">
        <v>1</v>
      </c>
      <c r="N193" s="8">
        <v>1</v>
      </c>
      <c r="O193" s="8">
        <v>1</v>
      </c>
      <c r="P193" s="4" t="s">
        <v>956</v>
      </c>
      <c r="Q193" s="5">
        <v>20241126</v>
      </c>
      <c r="R193" s="5" t="s">
        <v>17</v>
      </c>
      <c r="S193" s="5" t="s">
        <v>17</v>
      </c>
      <c r="T193" s="5">
        <v>2024</v>
      </c>
    </row>
    <row r="194" spans="1:20" ht="408" x14ac:dyDescent="0.4">
      <c r="A194" s="4" t="s">
        <v>951</v>
      </c>
      <c r="B194" s="5" t="s">
        <v>16</v>
      </c>
      <c r="C194" s="5" t="s">
        <v>952</v>
      </c>
      <c r="D194" s="5" t="s">
        <v>18</v>
      </c>
      <c r="E194" s="6">
        <v>45545</v>
      </c>
      <c r="F194" s="6">
        <v>45558</v>
      </c>
      <c r="G194" s="5" t="s">
        <v>19</v>
      </c>
      <c r="H194" s="4" t="s">
        <v>953</v>
      </c>
      <c r="I194" s="4" t="s">
        <v>954</v>
      </c>
      <c r="J194" s="4" t="s">
        <v>955</v>
      </c>
      <c r="K194" s="8">
        <v>0</v>
      </c>
      <c r="L194" s="8">
        <v>0</v>
      </c>
      <c r="M194" s="8">
        <v>1</v>
      </c>
      <c r="N194" s="8">
        <v>1</v>
      </c>
      <c r="O194" s="8">
        <v>1</v>
      </c>
      <c r="P194" s="4" t="s">
        <v>957</v>
      </c>
      <c r="Q194" s="5">
        <v>20241126</v>
      </c>
      <c r="R194" s="5" t="s">
        <v>17</v>
      </c>
      <c r="S194" s="5" t="s">
        <v>17</v>
      </c>
      <c r="T194" s="5">
        <v>2024</v>
      </c>
    </row>
    <row r="195" spans="1:20" ht="335.15" x14ac:dyDescent="0.4">
      <c r="A195" s="4" t="s">
        <v>958</v>
      </c>
      <c r="B195" s="5" t="s">
        <v>16</v>
      </c>
      <c r="C195" s="5" t="s">
        <v>17</v>
      </c>
      <c r="D195" s="5" t="s">
        <v>18</v>
      </c>
      <c r="E195" s="6">
        <v>45559</v>
      </c>
      <c r="F195" s="6">
        <v>45586</v>
      </c>
      <c r="G195" s="5" t="s">
        <v>19</v>
      </c>
      <c r="H195" s="4" t="s">
        <v>959</v>
      </c>
      <c r="I195" s="5" t="s">
        <v>960</v>
      </c>
      <c r="J195" s="4" t="s">
        <v>961</v>
      </c>
      <c r="K195" s="9">
        <v>0</v>
      </c>
      <c r="L195" s="9">
        <v>0</v>
      </c>
      <c r="M195" s="9">
        <v>0</v>
      </c>
      <c r="N195" s="9">
        <v>1</v>
      </c>
      <c r="O195" s="9">
        <v>0</v>
      </c>
      <c r="P195" s="4" t="s">
        <v>962</v>
      </c>
      <c r="Q195" s="5">
        <v>20241126</v>
      </c>
      <c r="R195" s="5" t="s">
        <v>17</v>
      </c>
      <c r="S195" s="5" t="s">
        <v>17</v>
      </c>
      <c r="T195" s="5">
        <v>2024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pub_petition_content_birth_2021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2024-12-05T13:15:20Z</dcterms:created>
  <dcterms:modified xsi:type="dcterms:W3CDTF">2024-12-07T17:38:07Z</dcterms:modified>
</cp:coreProperties>
</file>